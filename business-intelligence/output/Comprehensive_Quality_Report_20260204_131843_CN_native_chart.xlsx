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执行摘要" sheetId="1" state="visible" r:id="rId1"/>
    <sheet xmlns:r="http://schemas.openxmlformats.org/officeDocument/2006/relationships" name="_ChartData" sheetId="2" state="hidden" r:id="rId2"/>
    <sheet xmlns:r="http://schemas.openxmlformats.org/officeDocument/2006/relationships" name="INC_事件分析" sheetId="3" state="visible" r:id="rId3"/>
    <sheet xmlns:r="http://schemas.openxmlformats.org/officeDocument/2006/relationships" name="INC_SLA分析" sheetId="4" state="visible" r:id="rId4"/>
    <sheet xmlns:r="http://schemas.openxmlformats.org/officeDocument/2006/relationships" name="CHG_变更分析" sheetId="5" state="visible" r:id="rId5"/>
    <sheet xmlns:r="http://schemas.openxmlformats.org/officeDocument/2006/relationships" name="SRQ_请求分析" sheetId="6" state="visible" r:id="rId6"/>
    <sheet xmlns:r="http://schemas.openxmlformats.org/officeDocument/2006/relationships" name="PRO_问题分析" sheetId="7" state="visible" r:id="rId7"/>
    <sheet xmlns:r="http://schemas.openxmlformats.org/officeDocument/2006/relationships" name="CRO_跨流程关联" sheetId="8" state="visible" r:id="rId8"/>
    <sheet xmlns:r="http://schemas.openxmlformats.org/officeDocument/2006/relationships" name="CRO_人员与效率" sheetId="9" state="visible" r:id="rId9"/>
    <sheet xmlns:r="http://schemas.openxmlformats.org/officeDocument/2006/relationships" name="CRO_时间维度" sheetId="10" state="visible" r:id="rId10"/>
    <sheet xmlns:r="http://schemas.openxmlformats.org/officeDocument/2006/relationships" name="行动计划"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Hiragino Sans GB"/>
      <b val="1"/>
      <color rgb="001e3a5f"/>
      <sz val="18"/>
    </font>
    <font>
      <name val="Hiragino Sans GB"/>
      <color rgb="0064748b"/>
      <sz val="14"/>
    </font>
    <font>
      <name val="Hiragino Sans GB"/>
      <b val="1"/>
      <color rgb="001e3a5f"/>
      <sz val="12"/>
    </font>
    <font>
      <name val="Hiragino Sans GB"/>
      <b val="1"/>
      <color rgb="00ffffff"/>
      <sz val="10"/>
    </font>
    <font>
      <name val="Hiragino Sans GB"/>
      <color rgb="001e293b"/>
      <sz val="10"/>
    </font>
    <font>
      <color rgb="003b82f6"/>
      <sz val="10"/>
      <u val="single"/>
    </font>
    <font>
      <name val="Calibri"/>
      <i val="1"/>
      <color rgb="0064748b"/>
      <sz val="9"/>
    </font>
    <font>
      <name val="Hiragino Sans GB"/>
      <b val="1"/>
      <color rgb="001e3a5f"/>
      <sz val="11"/>
    </font>
    <font>
      <name val="Hiragino Sans GB"/>
      <b val="1"/>
      <color rgb="001e3a5f"/>
      <sz val="10"/>
    </font>
    <font>
      <name val="Hiragino Sans GB"/>
      <i val="1"/>
      <color rgb="0064748b"/>
      <sz val="8"/>
    </font>
    <font>
      <name val="Arial"/>
      <color rgb="001e293b"/>
      <sz val="10"/>
    </font>
    <font>
      <b val="1"/>
      <sz val="11"/>
    </font>
    <font>
      <name val="Hiragino Sans GB"/>
      <color rgb="00334155"/>
      <sz val="10"/>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0" borderId="0" applyAlignment="1" pivotButton="0" quotePrefix="0" xfId="0">
      <alignment horizontal="center" vertical="center"/>
    </xf>
    <xf numFmtId="0" fontId="11" fillId="3" borderId="2" applyAlignment="1" pivotButton="0" quotePrefix="0" xfId="0">
      <alignment horizontal="right" vertical="center"/>
    </xf>
    <xf numFmtId="0" fontId="11" fillId="4" borderId="2" applyAlignment="1" pivotButton="0" quotePrefix="0" xfId="0">
      <alignment horizontal="right" vertical="center"/>
    </xf>
    <xf numFmtId="0" fontId="12" fillId="0" borderId="0" pivotButton="0" quotePrefix="0" xfId="0"/>
    <xf numFmtId="0" fontId="13" fillId="5"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健康评分: 33/100</a:t>
            </a:r>
          </a:p>
        </rich>
      </tx>
      <overlay val="1"/>
    </title>
    <plotArea>
      <doughnutChart>
        <varyColors val="1"/>
        <ser>
          <idx val="0"/>
          <order val="0"/>
          <tx>
            <strRef>
              <f>'_ChartData'!B1</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'_ChartData'!$A$2:$A$3</f>
            </numRef>
          </cat>
          <val>
            <numRef>
              <f>'_ChartData'!$B$2:$B$3</f>
            </numRef>
          </val>
        </ser>
        <dLbls>
          <showVal val="0"/>
          <showCatName val="0"/>
          <showSerName val="0"/>
          <showPercent val="1"/>
        </dLbls>
        <firstSliceAng val="0"/>
        <holeSize val="10"/>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流程健康雷达</a:t>
            </a:r>
          </a:p>
        </rich>
      </tx>
      <overlay val="1"/>
    </title>
    <plotArea>
      <radarChart>
        <radarStyle val="filled"/>
        <ser>
          <idx val="0"/>
          <order val="0"/>
          <tx>
            <strRef>
              <f>'_ChartData'!B5</f>
            </strRef>
          </tx>
          <spPr>
            <a:solidFill xmlns:a="http://schemas.openxmlformats.org/drawingml/2006/main">
              <a:srgbClr val="3b82f6"/>
            </a:solidFill>
            <a:ln xmlns:a="http://schemas.openxmlformats.org/drawingml/2006/main">
              <a:prstDash val="solid"/>
            </a:ln>
          </spPr>
          <marker>
            <symbol val="none"/>
            <spPr>
              <a:ln xmlns:a="http://schemas.openxmlformats.org/drawingml/2006/main">
                <a:prstDash val="solid"/>
              </a:ln>
            </spPr>
          </marker>
          <cat>
            <numRef>
              <f>'_ChartData'!$A$6:$A$9</f>
            </numRef>
          </cat>
          <val>
            <numRef>
              <f>'_ChartData'!$B$6:$B$9</f>
            </numRef>
          </val>
        </ser>
        <axId val="10"/>
        <axId val="100"/>
      </radarChart>
      <catAx>
        <axId val="10"/>
        <scaling>
          <orientation val="minMax"/>
        </scaling>
        <axPos val="l"/>
        <majorTickMark val="none"/>
        <minorTickMark val="none"/>
        <crossAx val="100"/>
        <lblOffset val="100"/>
      </catAx>
      <valAx>
        <axId val="100"/>
        <scaling>
          <orientation val="minMax"/>
          <max val="100"/>
        </scaling>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月度事件趋势</a:t>
            </a:r>
          </a:p>
        </rich>
      </tx>
      <overlay val="1"/>
    </title>
    <plotArea>
      <barChart>
        <barDir val="col"/>
        <grouping val="clustered"/>
        <ser>
          <idx val="0"/>
          <order val="0"/>
          <tx>
            <strRef>
              <f>'_ChartData'!B11</f>
            </strRef>
          </tx>
          <spPr>
            <a:ln xmlns:a="http://schemas.openxmlformats.org/drawingml/2006/main">
              <a:prstDash val="solid"/>
            </a:ln>
          </spPr>
          <cat>
            <numRef>
              <f>'_ChartData'!$A$12:$A$27</f>
            </numRef>
          </cat>
          <val>
            <numRef>
              <f>'_ChartData'!$B$12:$B$27</f>
            </numRef>
          </val>
        </ser>
        <dLbls>
          <showVal val="1"/>
          <showCatName val="0"/>
          <showSerName val="1"/>
          <showPercent val="0"/>
        </dLbls>
        <gapWidth val="150"/>
        <axId val="10"/>
        <axId val="100"/>
      </barChart>
      <lineChart>
        <grouping val="standard"/>
        <ser>
          <idx val="1"/>
          <order val="1"/>
          <tx>
            <strRef>
              <f>'_ChartData'!C11</f>
            </strRef>
          </tx>
          <spPr>
            <a:ln xmlns:a="http://schemas.openxmlformats.org/drawingml/2006/main">
              <a:prstDash val="solid"/>
            </a:ln>
          </spPr>
          <marker>
            <symbol val="none"/>
            <spPr>
              <a:ln xmlns:a="http://schemas.openxmlformats.org/drawingml/2006/main">
                <a:prstDash val="solid"/>
              </a:ln>
            </spPr>
          </marker>
          <val>
            <numRef>
              <f>'_ChartData'!$C$12:$C$27</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比率%</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事件优先级分布</a:t>
            </a:r>
          </a:p>
        </rich>
      </tx>
      <overlay val="1"/>
    </title>
    <plotArea>
      <pieChart>
        <varyColors val="1"/>
        <ser>
          <idx val="0"/>
          <order val="0"/>
          <tx>
            <strRef>
              <f>'_ChartData'!B29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'_ChartData'!$A$30:$A$33</f>
            </numRef>
          </cat>
          <val>
            <numRef>
              <f>'_ChartData'!$B$30:$B$33</f>
            </numRef>
          </val>
        </ser>
        <dLbls>
          <showVal val="0"/>
          <showCatName val="1"/>
          <showSerName val="1"/>
          <showPercent val="1"/>
        </dLbls>
        <firstSliceAng val="0"/>
      </pieChart>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事件类别 Top 10</a:t>
            </a:r>
          </a:p>
        </rich>
      </tx>
      <overlay val="1"/>
    </title>
    <plotArea>
      <barChart>
        <barDir val="bar"/>
        <grouping val="clustered"/>
        <ser>
          <idx val="0"/>
          <order val="0"/>
          <tx>
            <strRef>
              <f>'_ChartData'!B35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dPt>
            <idx val="7"/>
            <spPr>
              <a:solidFill xmlns:a="http://schemas.openxmlformats.org/drawingml/2006/main">
                <a:srgbClr val="ec4899"/>
              </a:solidFill>
              <a:ln xmlns:a="http://schemas.openxmlformats.org/drawingml/2006/main">
                <a:prstDash val="solid"/>
              </a:ln>
            </spPr>
          </dPt>
          <dPt>
            <idx val="8"/>
            <spPr>
              <a:solidFill xmlns:a="http://schemas.openxmlformats.org/drawingml/2006/main">
                <a:srgbClr val="14b8a6"/>
              </a:solidFill>
              <a:ln xmlns:a="http://schemas.openxmlformats.org/drawingml/2006/main">
                <a:prstDash val="solid"/>
              </a:ln>
            </spPr>
          </dPt>
          <dPt>
            <idx val="9"/>
            <spPr>
              <a:solidFill xmlns:a="http://schemas.openxmlformats.org/drawingml/2006/main">
                <a:srgbClr val="a855f7"/>
              </a:solidFill>
              <a:ln xmlns:a="http://schemas.openxmlformats.org/drawingml/2006/main">
                <a:prstDash val="solid"/>
              </a:ln>
            </spPr>
          </dPt>
          <cat>
            <numRef>
              <f>'_ChartData'!$A$36:$A$45</f>
            </numRef>
          </cat>
          <val>
            <numRef>
              <f>'_ChartData'!$B$36:$B$45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类别</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解决SLA: 64.2%</a:t>
            </a:r>
          </a:p>
        </rich>
      </tx>
      <overlay val="1"/>
    </title>
    <plotArea>
      <doughnutChart>
        <varyColors val="1"/>
        <ser>
          <idx val="0"/>
          <order val="0"/>
          <tx>
            <strRef>
              <f>'_ChartData'!B47</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'_ChartData'!$A$48:$A$49</f>
            </numRef>
          </cat>
          <val>
            <numRef>
              <f>'_ChartData'!$B$48:$B$49</f>
            </numRef>
          </val>
        </ser>
        <dLbls>
          <showVal val="1"/>
          <showCatName val="0"/>
          <showSerName val="0"/>
          <showPercent val="0"/>
        </dLbls>
        <firstSliceAng val="0"/>
        <holeSize val="10"/>
      </doughnutChart>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响应SLA: 99.2%</a:t>
            </a:r>
          </a:p>
        </rich>
      </tx>
      <overlay val="1"/>
    </title>
    <plotArea>
      <doughnutChart>
        <varyColors val="1"/>
        <ser>
          <idx val="0"/>
          <order val="0"/>
          <tx>
            <strRef>
              <f>'_ChartData'!B51</f>
            </strRef>
          </tx>
          <spPr>
            <a:ln xmlns:a="http://schemas.openxmlformats.org/drawingml/2006/main">
              <a:prstDash val="solid"/>
            </a:ln>
          </spPr>
          <dPt>
            <idx val="0"/>
            <spPr>
              <a:solidFill xmlns:a="http://schemas.openxmlformats.org/drawingml/2006/main">
                <a:srgbClr val="22c55e"/>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'_ChartData'!$A$52:$A$53</f>
            </numRef>
          </cat>
          <val>
            <numRef>
              <f>'_ChartData'!$B$52:$B$53</f>
            </numRef>
          </val>
        </ser>
        <dLbls>
          <showVal val="1"/>
          <showCatName val="0"/>
          <showSerName val="0"/>
          <showPercent val="0"/>
        </dLbls>
        <firstSliceAng val="0"/>
        <holeSize val="10"/>
      </doughnutChart>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月度SLA趋势</a:t>
            </a:r>
          </a:p>
        </rich>
      </tx>
      <overlay val="1"/>
    </title>
    <plotArea>
      <lineChart>
        <grouping val="standard"/>
        <ser>
          <idx val="0"/>
          <order val="0"/>
          <tx>
            <strRef>
              <f>'_ChartData'!B55</f>
            </strRef>
          </tx>
          <spPr>
            <a:ln xmlns:a="http://schemas.openxmlformats.org/drawingml/2006/main">
              <a:prstDash val="solid"/>
            </a:ln>
          </spPr>
          <marker>
            <symbol val="none"/>
            <spPr>
              <a:ln xmlns:a="http://schemas.openxmlformats.org/drawingml/2006/main">
                <a:prstDash val="solid"/>
              </a:ln>
            </spPr>
          </marker>
          <cat>
            <numRef>
              <f>'_ChartData'!$A$56:$A$71</f>
            </numRef>
          </cat>
          <val>
            <numRef>
              <f>'_ChartData'!$B$56:$B$71</f>
            </numRef>
          </val>
        </ser>
        <ser>
          <idx val="1"/>
          <order val="1"/>
          <tx>
            <strRef>
              <f>'_ChartData'!C55</f>
            </strRef>
          </tx>
          <spPr>
            <a:ln xmlns:a="http://schemas.openxmlformats.org/drawingml/2006/main">
              <a:prstDash val="dash"/>
            </a:ln>
          </spPr>
          <marker>
            <symbol val="none"/>
            <spPr>
              <a:ln xmlns:a="http://schemas.openxmlformats.org/drawingml/2006/main">
                <a:prstDash val="solid"/>
              </a:ln>
            </spPr>
          </marker>
          <cat>
            <numRef>
              <f>'_ChartData'!$A$56:$A$71</f>
            </numRef>
          </cat>
          <val>
            <numRef>
              <f>'_ChartData'!$C$56:$C$71</f>
            </numRef>
          </val>
        </ser>
        <dLbls>
          <showVal val="0"/>
          <showSerName val="0"/>
        </dLbls>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变更类型分布</a:t>
            </a:r>
          </a:p>
        </rich>
      </tx>
      <overlay val="1"/>
    </title>
    <plotArea>
      <pieChart>
        <varyColors val="1"/>
        <ser>
          <idx val="0"/>
          <order val="0"/>
          <tx>
            <strRef>
              <f>'_ChartData'!B73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'_ChartData'!$A$74:$A$76</f>
            </numRef>
          </cat>
          <val>
            <numRef>
              <f>'_ChartData'!$B$74:$B$76</f>
            </numRef>
          </val>
        </ser>
        <dLbls>
          <showVal val="0"/>
          <showCatName val="1"/>
          <showSerName val="1"/>
          <showPercent val="1"/>
        </dLbls>
        <firstSliceAng val="0"/>
      </pieChart>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变更成功率趋势</a:t>
            </a:r>
          </a:p>
        </rich>
      </tx>
      <overlay val="1"/>
    </title>
    <plotArea>
      <lineChart>
        <grouping val="standard"/>
        <ser>
          <idx val="0"/>
          <order val="0"/>
          <tx>
            <strRef>
              <f>'_ChartData'!B78</f>
            </strRef>
          </tx>
          <spPr>
            <a:ln xmlns:a="http://schemas.openxmlformats.org/drawingml/2006/main">
              <a:prstDash val="solid"/>
            </a:ln>
          </spPr>
          <marker>
            <symbol val="none"/>
            <spPr>
              <a:ln xmlns:a="http://schemas.openxmlformats.org/drawingml/2006/main">
                <a:prstDash val="solid"/>
              </a:ln>
            </spPr>
          </marker>
          <cat>
            <numRef>
              <f>'_ChartData'!$A$79:$A$94</f>
            </numRef>
          </cat>
          <val>
            <numRef>
              <f>'_ChartData'!$B$79:$B$94</f>
            </numRef>
          </val>
        </ser>
        <ser>
          <idx val="1"/>
          <order val="1"/>
          <tx>
            <strRef>
              <f>'_ChartData'!C78</f>
            </strRef>
          </tx>
          <spPr>
            <a:ln xmlns:a="http://schemas.openxmlformats.org/drawingml/2006/main">
              <a:prstDash val="dash"/>
            </a:ln>
          </spPr>
          <marker>
            <symbol val="none"/>
            <spPr>
              <a:ln xmlns:a="http://schemas.openxmlformats.org/drawingml/2006/main">
                <a:prstDash val="solid"/>
              </a:ln>
            </spPr>
          </marker>
          <cat>
            <numRef>
              <f>'_ChartData'!$A$79:$A$94</f>
            </numRef>
          </cat>
          <val>
            <numRef>
              <f>'_ChartData'!$C$79:$C$94</f>
            </numRef>
          </val>
        </ser>
        <dLbls>
          <showVal val="1"/>
          <showSerName val="0"/>
        </dLbls>
        <axId val="10"/>
        <axId val="100"/>
      </lineChart>
      <catAx>
        <axId val="10"/>
        <scaling>
          <orientation val="minMax"/>
        </scaling>
        <axPos val="l"/>
        <title>
          <tx>
            <rich>
              <a:bodyPr xmlns:a="http://schemas.openxmlformats.org/drawingml/2006/main"/>
              <a:p xmlns:a="http://schemas.openxmlformats.org/drawingml/2006/main">
                <a:pPr>
                  <a:defRPr/>
                </a:pPr>
                <a:r>
                  <a:t>月份</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比率%</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变更类别分布</a:t>
            </a:r>
          </a:p>
        </rich>
      </tx>
      <overlay val="1"/>
    </title>
    <plotArea>
      <barChart>
        <barDir val="col"/>
        <grouping val="clustered"/>
        <ser>
          <idx val="0"/>
          <order val="0"/>
          <tx>
            <strRef>
              <f>'_ChartData'!B96</f>
            </strRef>
          </tx>
          <spPr>
            <a:ln xmlns:a="http://schemas.openxmlformats.org/drawingml/2006/main">
              <a:prstDash val="solid"/>
            </a:ln>
          </spPr>
          <cat>
            <numRef>
              <f>'_ChartData'!$A$97:$A$101</f>
            </numRef>
          </cat>
          <val>
            <numRef>
              <f>'_ChartData'!$B$97:$B$101</f>
            </numRef>
          </val>
        </ser>
        <ser>
          <idx val="1"/>
          <order val="1"/>
          <tx>
            <strRef>
              <f>'_ChartData'!C96</f>
            </strRef>
          </tx>
          <spPr>
            <a:ln xmlns:a="http://schemas.openxmlformats.org/drawingml/2006/main">
              <a:prstDash val="solid"/>
            </a:ln>
          </spPr>
          <cat>
            <numRef>
              <f>'_ChartData'!$A$97:$A$101</f>
            </numRef>
          </cat>
          <val>
            <numRef>
              <f>'_ChartData'!$C$97:$C$101</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类别</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请求类型分布</a:t>
            </a:r>
          </a:p>
        </rich>
      </tx>
      <overlay val="1"/>
    </title>
    <plotArea>
      <pieChart>
        <varyColors val="1"/>
        <ser>
          <idx val="0"/>
          <order val="0"/>
          <tx>
            <strRef>
              <f>'_ChartData'!B103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'_ChartData'!$A$104:$A$107</f>
            </numRef>
          </cat>
          <val>
            <numRef>
              <f>'_ChartData'!$B$104:$B$107</f>
            </numRef>
          </val>
        </ser>
        <dLbls>
          <showVal val="0"/>
          <showCatName val="1"/>
          <showSerName val="1"/>
          <showPercent val="1"/>
        </dLbls>
        <firstSliceAng val="0"/>
      </pieChart>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满意度分布</a:t>
            </a:r>
          </a:p>
        </rich>
      </tx>
      <overlay val="1"/>
    </title>
    <plotArea>
      <barChart>
        <barDir val="col"/>
        <grouping val="clustered"/>
        <ser>
          <idx val="0"/>
          <order val="0"/>
          <tx>
            <strRef>
              <f>'_ChartData'!B109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ab308"/>
              </a:solidFill>
              <a:ln xmlns:a="http://schemas.openxmlformats.org/drawingml/2006/main">
                <a:prstDash val="solid"/>
              </a:ln>
            </spPr>
          </dPt>
          <dPt>
            <idx val="4"/>
            <spPr>
              <a:solidFill xmlns:a="http://schemas.openxmlformats.org/drawingml/2006/main">
                <a:srgbClr val="ef4444"/>
              </a:solidFill>
              <a:ln xmlns:a="http://schemas.openxmlformats.org/drawingml/2006/main">
                <a:prstDash val="solid"/>
              </a:ln>
            </spPr>
          </dPt>
          <cat>
            <numRef>
              <f>'_ChartData'!$A$110:$A$114</f>
            </numRef>
          </cat>
          <val>
            <numRef>
              <f>'_ChartData'!$B$110:$B$114</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评分</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月度请求趋势</a:t>
            </a:r>
          </a:p>
        </rich>
      </tx>
      <overlay val="1"/>
    </title>
    <plotArea>
      <barChart>
        <barDir val="col"/>
        <grouping val="clustered"/>
        <ser>
          <idx val="0"/>
          <order val="0"/>
          <tx>
            <strRef>
              <f>'_ChartData'!B116</f>
            </strRef>
          </tx>
          <spPr>
            <a:solidFill xmlns:a="http://schemas.openxmlformats.org/drawingml/2006/main">
              <a:srgbClr val="3b82f6"/>
            </a:solidFill>
            <a:ln xmlns:a="http://schemas.openxmlformats.org/drawingml/2006/main">
              <a:prstDash val="solid"/>
            </a:ln>
          </spPr>
          <cat>
            <numRef>
              <f>'_ChartData'!$A$117:$A$132</f>
            </numRef>
          </cat>
          <val>
            <numRef>
              <f>'_ChartData'!$B$117:$B$132</f>
            </numRef>
          </val>
        </ser>
        <dLbls>
          <showVal val="1"/>
          <showCatName val="0"/>
          <showSerName val="1"/>
          <showPercent val="0"/>
        </dLbls>
        <gapWidth val="150"/>
        <axId val="10"/>
        <axId val="100"/>
      </barChart>
      <lineChart>
        <grouping val="standard"/>
        <ser>
          <idx val="1"/>
          <order val="1"/>
          <tx>
            <strRef>
              <f>'_ChartData'!C116</f>
            </strRef>
          </tx>
          <spPr>
            <a:ln xmlns:a="http://schemas.openxmlformats.org/drawingml/2006/main">
              <a:solidFill>
                <a:srgbClr val="22c55e"/>
              </a:solidFill>
              <a:prstDash val="solid"/>
            </a:ln>
          </spPr>
          <marker>
            <symbol val="none"/>
            <spPr>
              <a:ln xmlns:a="http://schemas.openxmlformats.org/drawingml/2006/main">
                <a:prstDash val="solid"/>
              </a:ln>
            </spPr>
          </marker>
          <val>
            <numRef>
              <f>'_ChartData'!$C$117:$C$132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满意度</a:t>
                </a:r>
              </a:p>
            </rich>
          </tx>
        </title>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各类型完成时间 (小时)</a:t>
            </a:r>
          </a:p>
        </rich>
      </tx>
      <overlay val="1"/>
    </title>
    <plotArea>
      <barChart>
        <barDir val="col"/>
        <grouping val="clustered"/>
        <ser>
          <idx val="0"/>
          <order val="0"/>
          <tx>
            <strRef>
              <f>'_ChartData'!B134</f>
            </strRef>
          </tx>
          <spPr>
            <a:ln xmlns:a="http://schemas.openxmlformats.org/drawingml/2006/main">
              <a:prstDash val="solid"/>
            </a:ln>
          </spPr>
          <cat>
            <numRef>
              <f>'_ChartData'!$A$135:$A$138</f>
            </numRef>
          </cat>
          <val>
            <numRef>
              <f>'_ChartData'!$B$135:$B$138</f>
            </numRef>
          </val>
        </ser>
        <ser>
          <idx val="1"/>
          <order val="1"/>
          <tx>
            <strRef>
              <f>'_ChartData'!C134</f>
            </strRef>
          </tx>
          <spPr>
            <a:ln xmlns:a="http://schemas.openxmlformats.org/drawingml/2006/main">
              <a:prstDash val="solid"/>
            </a:ln>
          </spPr>
          <cat>
            <numRef>
              <f>'_ChartData'!$A$135:$A$138</f>
            </numRef>
          </cat>
          <val>
            <numRef>
              <f>'_ChartData'!$C$135:$C$138</f>
            </numRef>
          </val>
        </ser>
        <ser>
          <idx val="2"/>
          <order val="2"/>
          <tx>
            <strRef>
              <f>'_ChartData'!D134</f>
            </strRef>
          </tx>
          <spPr>
            <a:ln xmlns:a="http://schemas.openxmlformats.org/drawingml/2006/main">
              <a:prstDash val="solid"/>
            </a:ln>
          </spPr>
          <cat>
            <numRef>
              <f>'_ChartData'!$A$135:$A$138</f>
            </numRef>
          </cat>
          <val>
            <numRef>
              <f>'_ChartData'!$D$135:$D$138</f>
            </numRef>
          </val>
        </ser>
        <dLbls>
          <showVal val="1"/>
          <showCatName val="0"/>
          <showSerName val="1"/>
          <showPercent val="0"/>
        </dLbls>
        <gapWidth val="150"/>
        <axId val="10"/>
        <axId val="100"/>
      </b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t"/>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问题状态漏斗</a:t>
            </a:r>
          </a:p>
        </rich>
      </tx>
      <overlay val="1"/>
    </title>
    <plotArea>
      <barChart>
        <barDir val="bar"/>
        <grouping val="clustered"/>
        <ser>
          <idx val="0"/>
          <order val="0"/>
          <tx>
            <strRef>
              <f>'_ChartData'!B140</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'_ChartData'!$A$141:$A$145</f>
            </numRef>
          </cat>
          <val>
            <numRef>
              <f>'_ChartData'!$B$141:$B$145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状态</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根本原因分布</a:t>
            </a:r>
          </a:p>
        </rich>
      </tx>
      <overlay val="1"/>
    </title>
    <plotArea>
      <pieChart>
        <varyColors val="1"/>
        <ser>
          <idx val="0"/>
          <order val="0"/>
          <tx>
            <strRef>
              <f>'_ChartData'!B147</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'_ChartData'!$A$148:$A$152</f>
            </numRef>
          </cat>
          <val>
            <numRef>
              <f>'_ChartData'!$B$148:$B$152</f>
            </numRef>
          </val>
        </ser>
        <dLbls>
          <showVal val="0"/>
          <showCatName val="1"/>
          <showSerName val="1"/>
          <showPercent val="1"/>
        </dLbls>
        <firstSliceAng val="0"/>
      </pieChart>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月度问题趋势</a:t>
            </a:r>
          </a:p>
        </rich>
      </tx>
      <overlay val="1"/>
    </title>
    <plotArea>
      <barChart>
        <barDir val="col"/>
        <grouping val="clustered"/>
        <ser>
          <idx val="0"/>
          <order val="0"/>
          <tx>
            <strRef>
              <f>'_ChartData'!B154</f>
            </strRef>
          </tx>
          <spPr>
            <a:solidFill xmlns:a="http://schemas.openxmlformats.org/drawingml/2006/main">
              <a:srgbClr val="3b82f6"/>
            </a:solidFill>
            <a:ln xmlns:a="http://schemas.openxmlformats.org/drawingml/2006/main">
              <a:prstDash val="solid"/>
            </a:ln>
          </spPr>
          <cat>
            <numRef>
              <f>'_ChartData'!$A$155:$A$170</f>
            </numRef>
          </cat>
          <val>
            <numRef>
              <f>'_ChartData'!$B$155:$B$170</f>
            </numRef>
          </val>
        </ser>
        <dLbls>
          <showVal val="1"/>
          <showCatName val="0"/>
          <showSerName val="1"/>
          <showPercent val="0"/>
        </dLbls>
        <gapWidth val="150"/>
        <axId val="10"/>
        <axId val="100"/>
      </barChart>
      <lineChart>
        <grouping val="standard"/>
        <ser>
          <idx val="1"/>
          <order val="1"/>
          <tx>
            <strRef>
              <f>'_ChartData'!C154</f>
            </strRef>
          </tx>
          <spPr>
            <a:ln xmlns:a="http://schemas.openxmlformats.org/drawingml/2006/main">
              <a:solidFill>
                <a:srgbClr val="ef4444"/>
              </a:solidFill>
              <a:prstDash val="solid"/>
            </a:ln>
          </spPr>
          <marker>
            <symbol val="none"/>
            <spPr>
              <a:ln xmlns:a="http://schemas.openxmlformats.org/drawingml/2006/main">
                <a:prstDash val="solid"/>
              </a:ln>
            </spPr>
          </marker>
          <val>
            <numRef>
              <f>'_ChartData'!$C$155:$C$170</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累计</a:t>
                </a:r>
              </a:p>
            </rich>
          </tx>
        </title>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跨流程关联</a:t>
            </a:r>
          </a:p>
        </rich>
      </tx>
      <overlay val="1"/>
    </title>
    <plotArea>
      <barChart>
        <barDir val="col"/>
        <grouping val="clustered"/>
        <ser>
          <idx val="0"/>
          <order val="0"/>
          <tx>
            <strRef>
              <f>'_ChartData'!B172</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cat>
            <numRef>
              <f>'_ChartData'!$A$173</f>
            </numRef>
          </cat>
          <val>
            <numRef>
              <f>'_ChartData'!$B$173</f>
            </numRef>
          </val>
        </ser>
        <dLbls>
          <showVal val="1"/>
          <showCatName val="0"/>
          <showSerName val="1"/>
          <showPercent val="0"/>
        </dLbls>
        <gapWidth val="150"/>
        <axId val="10"/>
        <axId val="100"/>
      </b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t"/>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人员Top10 (按优先级分布)</a:t>
            </a:r>
          </a:p>
        </rich>
      </tx>
      <overlay val="1"/>
    </title>
    <plotArea>
      <barChart>
        <barDir val="bar"/>
        <grouping val="stacked"/>
        <ser>
          <idx val="0"/>
          <order val="0"/>
          <tx>
            <strRef>
              <f>'_ChartData'!B175</f>
            </strRef>
          </tx>
          <spPr>
            <a:solidFill xmlns:a="http://schemas.openxmlformats.org/drawingml/2006/main">
              <a:srgbClr val="ef4444"/>
            </a:solidFill>
            <a:ln xmlns:a="http://schemas.openxmlformats.org/drawingml/2006/main">
              <a:prstDash val="solid"/>
            </a:ln>
          </spPr>
          <cat>
            <numRef>
              <f>'_ChartData'!$A$176:$A$185</f>
            </numRef>
          </cat>
          <val>
            <numRef>
              <f>'_ChartData'!$B$176:$B$185</f>
            </numRef>
          </val>
        </ser>
        <ser>
          <idx val="1"/>
          <order val="1"/>
          <tx>
            <strRef>
              <f>'_ChartData'!C175</f>
            </strRef>
          </tx>
          <spPr>
            <a:solidFill xmlns:a="http://schemas.openxmlformats.org/drawingml/2006/main">
              <a:srgbClr val="f97316"/>
            </a:solidFill>
            <a:ln xmlns:a="http://schemas.openxmlformats.org/drawingml/2006/main">
              <a:prstDash val="solid"/>
            </a:ln>
          </spPr>
          <cat>
            <numRef>
              <f>'_ChartData'!$A$176:$A$185</f>
            </numRef>
          </cat>
          <val>
            <numRef>
              <f>'_ChartData'!$C$176:$C$185</f>
            </numRef>
          </val>
        </ser>
        <ser>
          <idx val="2"/>
          <order val="2"/>
          <tx>
            <strRef>
              <f>'_ChartData'!D175</f>
            </strRef>
          </tx>
          <spPr>
            <a:solidFill xmlns:a="http://schemas.openxmlformats.org/drawingml/2006/main">
              <a:srgbClr val="eab308"/>
            </a:solidFill>
            <a:ln xmlns:a="http://schemas.openxmlformats.org/drawingml/2006/main">
              <a:prstDash val="solid"/>
            </a:ln>
          </spPr>
          <cat>
            <numRef>
              <f>'_ChartData'!$A$176:$A$185</f>
            </numRef>
          </cat>
          <val>
            <numRef>
              <f>'_ChartData'!$D$176:$D$185</f>
            </numRef>
          </val>
        </ser>
        <ser>
          <idx val="3"/>
          <order val="3"/>
          <tx>
            <strRef>
              <f>'_ChartData'!E175</f>
            </strRef>
          </tx>
          <spPr>
            <a:solidFill xmlns:a="http://schemas.openxmlformats.org/drawingml/2006/main">
              <a:srgbClr val="22c55e"/>
            </a:solidFill>
            <a:ln xmlns:a="http://schemas.openxmlformats.org/drawingml/2006/main">
              <a:prstDash val="solid"/>
            </a:ln>
          </spPr>
          <cat>
            <numRef>
              <f>'_ChartData'!$A$176:$A$185</f>
            </numRef>
          </cat>
          <val>
            <numRef>
              <f>'_ChartData'!$E$176:$E$185</f>
            </numRef>
          </val>
        </ser>
        <dLbls>
          <showVal val="1"/>
          <showCatName val="0"/>
          <showSer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工单数量</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人员</a:t>
                </a:r>
              </a:p>
            </rich>
          </tx>
        </title>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四大流程趋势</a:t>
            </a:r>
          </a:p>
        </rich>
      </tx>
      <overlay val="1"/>
    </title>
    <plotArea>
      <lineChart>
        <grouping val="standard"/>
        <ser>
          <idx val="0"/>
          <order val="0"/>
          <tx>
            <strRef>
              <f>'_ChartData'!B187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'_ChartData'!$B$188:$B$203</f>
            </numRef>
          </val>
        </ser>
        <ser>
          <idx val="1"/>
          <order val="1"/>
          <tx>
            <strRef>
              <f>'_ChartData'!C187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'_ChartData'!$C$188:$C$203</f>
            </numRef>
          </val>
        </ser>
        <ser>
          <idx val="2"/>
          <order val="2"/>
          <tx>
            <strRef>
              <f>'_ChartData'!D187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'_ChartData'!$D$188:$D$203</f>
            </numRef>
          </val>
        </ser>
        <ser>
          <idx val="3"/>
          <order val="3"/>
          <tx>
            <strRef>
              <f>'_ChartData'!E187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'_ChartData'!$E$188:$E$203</f>
            </numRef>
          </val>
        </ser>
        <dLbls>
          <showVal val="1"/>
          <showSerName val="0"/>
        </dLbls>
        <axId val="10"/>
        <axId val="100"/>
      </lineChart>
      <catAx>
        <axId val="10"/>
        <scaling>
          <orientation val="minMax"/>
        </scaling>
        <axPos val="l"/>
        <title>
          <tx>
            <rich>
              <a:bodyPr xmlns:a="http://schemas.openxmlformats.org/drawingml/2006/main"/>
              <a:p xmlns:a="http://schemas.openxmlformats.org/drawingml/2006/main">
                <a:pPr>
                  <a:defRPr/>
                </a:pPr>
                <a:r>
                  <a:t>月份</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legend>
      <legendPos val="b"/>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按星期分布</a:t>
            </a:r>
          </a:p>
        </rich>
      </tx>
      <overlay val="1"/>
    </title>
    <plotArea>
      <barChart>
        <barDir val="col"/>
        <grouping val="clustered"/>
        <ser>
          <idx val="0"/>
          <order val="0"/>
          <tx>
            <strRef>
              <f>'_ChartData'!B205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cat>
            <numRef>
              <f>'_ChartData'!$A$206:$A$212</f>
            </numRef>
          </cat>
          <val>
            <numRef>
              <f>'_ChartData'!$B$206:$B$212</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星期</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行动优先级分布</a:t>
            </a:r>
          </a:p>
        </rich>
      </tx>
      <overlay val="1"/>
    </title>
    <plotArea>
      <pieChart>
        <varyColors val="1"/>
        <ser>
          <idx val="0"/>
          <order val="0"/>
          <tx>
            <strRef>
              <f>'_ChartData'!B214</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'_ChartData'!$A$215:$A$217</f>
            </numRef>
          </cat>
          <val>
            <numRef>
              <f>'_ChartData'!$B$215:$B$217</f>
            </numRef>
          </val>
        </ser>
        <dLbls>
          <showVal val="0"/>
          <showCatName val="1"/>
          <showSerName val="1"/>
          <showPercent val="1"/>
        </dLbls>
        <firstSliceAng val="0"/>
      </pieChart>
    </plotArea>
    <legend>
      <legendPos val="b"/>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各流程行动计划</a:t>
            </a:r>
          </a:p>
        </rich>
      </tx>
      <overlay val="1"/>
    </title>
    <plotArea>
      <barChart>
        <barDir val="col"/>
        <grouping val="clustered"/>
        <ser>
          <idx val="0"/>
          <order val="0"/>
          <tx>
            <strRef>
              <f>'_ChartData'!B219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'_ChartData'!$A$220:$A$222</f>
            </numRef>
          </cat>
          <val>
            <numRef>
              <f>'_ChartData'!$B$220:$B$222</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流程</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s>
</file>

<file path=xl/drawings/_rels/drawing4.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s>
</file>

<file path=xl/drawings/_rels/drawing5.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 Type="http://schemas.openxmlformats.org/officeDocument/2006/relationships/chart" Target="/xl/charts/chart14.xml" Id="rId3"/><Relationship Type="http://schemas.openxmlformats.org/officeDocument/2006/relationships/chart" Target="/xl/charts/chart15.xml" Id="rId4"/></Relationships>
</file>

<file path=xl/drawings/_rels/drawing6.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 Type="http://schemas.openxmlformats.org/officeDocument/2006/relationships/chart" Target="/xl/charts/chart18.xml" Id="rId3"/></Relationships>
</file>

<file path=xl/drawings/_rels/drawing7.xml.rels><Relationships xmlns="http://schemas.openxmlformats.org/package/2006/relationships"><Relationship Type="http://schemas.openxmlformats.org/officeDocument/2006/relationships/chart" Target="/xl/charts/chart19.xml" Id="rId1"/></Relationships>
</file>

<file path=xl/drawings/_rels/drawing8.xml.rels><Relationships xmlns="http://schemas.openxmlformats.org/package/2006/relationships"><Relationship Type="http://schemas.openxmlformats.org/officeDocument/2006/relationships/chart" Target="/xl/charts/chart20.xml" Id="rId1"/></Relationships>
</file>

<file path=xl/drawings/_rels/drawing9.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s>
</file>

<file path=xl/drawings/_rels/drawing10.xml.rels><Relationships xmlns="http://schemas.openxmlformats.org/package/2006/relationships"><Relationship Type="http://schemas.openxmlformats.org/officeDocument/2006/relationships/chart" Target="/xl/charts/chart23.xml" Id="rId1"/><Relationship Type="http://schemas.openxmlformats.org/officeDocument/2006/relationships/chart" Target="/xl/charts/chart24.xml" Id="rId2"/></Relationships>
</file>

<file path=xl/drawings/drawing1.xml><?xml version="1.0" encoding="utf-8"?>
<wsDr xmlns="http://schemas.openxmlformats.org/drawingml/2006/spreadsheetDrawing">
  <oneCellAnchor>
    <from>
      <col>0</col>
      <colOff>0</colOff>
      <row>28</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35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89</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0</col>
      <colOff>0</colOff>
      <row>40</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32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0</col>
      <colOff>0</colOff>
      <row>20</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47</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74</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xml><?xml version="1.0" encoding="utf-8"?>
<wsDr xmlns="http://schemas.openxmlformats.org/drawingml/2006/spreadsheetDrawing">
  <oneCellAnchor>
    <from>
      <col>0</col>
      <colOff>0</colOff>
      <row>21</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75</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648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6.xml><?xml version="1.0" encoding="utf-8"?>
<wsDr xmlns="http://schemas.openxmlformats.org/drawingml/2006/spreadsheetDrawing">
  <oneCellAnchor>
    <from>
      <col>0</col>
      <colOff>0</colOff>
      <row>22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76</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7.xml><?xml version="1.0" encoding="utf-8"?>
<wsDr xmlns="http://schemas.openxmlformats.org/drawingml/2006/spreadsheetDrawing">
  <oneCellAnchor>
    <from>
      <col>0</col>
      <colOff>0</colOff>
      <row>18</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0</col>
      <colOff>0</colOff>
      <row>85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0</col>
      <colOff>0</colOff>
      <row>42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0.xml><?xml version="1.0" encoding="utf-8"?>
<wsDr xmlns="http://schemas.openxmlformats.org/drawingml/2006/spreadsheetDrawing">
  <oneCellAnchor>
    <from>
      <col>0</col>
      <colOff>0</colOff>
      <row>25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25191;&#34892;&#25688;&#35201;!A1" TargetMode="External" Id="rId1"/><Relationship Type="http://schemas.openxmlformats.org/officeDocument/2006/relationships/hyperlink" Target="#INC_&#20107;&#20214;&#20998;&#26512;!A1" TargetMode="External" Id="rId2"/><Relationship Type="http://schemas.openxmlformats.org/officeDocument/2006/relationships/hyperlink" Target="#INC_SLA&#20998;&#26512;!A1" TargetMode="External" Id="rId3"/><Relationship Type="http://schemas.openxmlformats.org/officeDocument/2006/relationships/hyperlink" Target="#CHG_&#21464;&#26356;&#20998;&#26512;!A1" TargetMode="External" Id="rId4"/><Relationship Type="http://schemas.openxmlformats.org/officeDocument/2006/relationships/hyperlink" Target="#SRQ_&#35831;&#27714;&#20998;&#26512;!A1" TargetMode="External" Id="rId5"/><Relationship Type="http://schemas.openxmlformats.org/officeDocument/2006/relationships/hyperlink" Target="#PRO_&#38382;&#39064;&#20998;&#26512;!A1" TargetMode="External" Id="rId6"/><Relationship Type="http://schemas.openxmlformats.org/officeDocument/2006/relationships/hyperlink" Target="#CRO_&#36328;&#27969;&#31243;&#20851;&#32852;!A1" TargetMode="External" Id="rId7"/><Relationship Type="http://schemas.openxmlformats.org/officeDocument/2006/relationships/hyperlink" Target="#CRO_&#20154;&#21592;&#19982;&#25928;&#29575;!A1" TargetMode="External" Id="rId8"/><Relationship Type="http://schemas.openxmlformats.org/officeDocument/2006/relationships/hyperlink" Target="#CRO_&#26102;&#38388;&#32500;&#24230;!A1" TargetMode="External" Id="rId9"/><Relationship Type="http://schemas.openxmlformats.org/officeDocument/2006/relationships/hyperlink" Target="#&#34892;&#21160;&#35745;&#21010;!A1" TargetMode="External" Id="rId10"/><Relationship Type="http://schemas.openxmlformats.org/officeDocument/2006/relationships/drawing" Target="/xl/drawings/drawing1.xml" Id="rId1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93"/>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执行摘要</t>
        </is>
      </c>
    </row>
    <row r="2" ht="22" customHeight="1">
      <c r="A2" s="2" t="inlineStr">
        <is>
          <t>2024-04-19 — 2025-07-06</t>
        </is>
      </c>
    </row>
    <row r="3" ht="10" customHeight="1"/>
    <row r="4" ht="26" customHeight="1">
      <c r="A4" s="3" t="inlineStr">
        <is>
          <t>KPI 概览</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风险</t>
        </is>
      </c>
    </row>
    <row r="8" ht="18" customHeight="1">
      <c r="A8" s="5" t="inlineStr">
        <is>
          <t>MTTR</t>
        </is>
      </c>
      <c r="B8" s="5" t="inlineStr">
        <is>
          <t>29.4小时</t>
        </is>
      </c>
      <c r="C8" s="5" t="inlineStr"/>
    </row>
    <row r="9" ht="18" customHeight="1">
      <c r="A9" s="6" t="inlineStr">
        <is>
          <t>Change Success Rate</t>
        </is>
      </c>
      <c r="B9" s="6" t="inlineStr">
        <is>
          <t>84.0%</t>
        </is>
      </c>
      <c r="C9" s="6" t="inlineStr">
        <is>
          <t>一般</t>
        </is>
      </c>
    </row>
    <row r="10" ht="18" customHeight="1">
      <c r="A10" s="5" t="inlineStr">
        <is>
          <t>Emergency Change Rate</t>
        </is>
      </c>
      <c r="B10" s="5" t="inlineStr">
        <is>
          <t>0.0%</t>
        </is>
      </c>
      <c r="C10" s="5" t="inlineStr"/>
    </row>
    <row r="11" ht="18" customHeight="1">
      <c r="A11" s="6" t="inlineStr">
        <is>
          <t>Request Fulfillment</t>
        </is>
      </c>
      <c r="B11" s="6" t="inlineStr">
        <is>
          <t>66.0%</t>
        </is>
      </c>
      <c r="C11" s="6" t="inlineStr">
        <is>
          <t>风险</t>
        </is>
      </c>
    </row>
    <row r="12" ht="18" customHeight="1">
      <c r="A12" s="5" t="inlineStr">
        <is>
          <t>CSAT</t>
        </is>
      </c>
      <c r="B12" s="5" t="inlineStr">
        <is>
          <t>3.61</t>
        </is>
      </c>
      <c r="C12" s="5" t="inlineStr"/>
    </row>
    <row r="13" ht="18" customHeight="1">
      <c r="A13" s="6" t="inlineStr">
        <is>
          <t>Problem Closure Rate</t>
        </is>
      </c>
      <c r="B13" s="6" t="inlineStr">
        <is>
          <t>48.0%</t>
        </is>
      </c>
      <c r="C13" s="6" t="inlineStr">
        <is>
          <t>风险</t>
        </is>
      </c>
    </row>
    <row r="14" ht="10" customHeight="1"/>
    <row r="15" ht="26" customHeight="1">
      <c r="A15" s="3" t="inlineStr">
        <is>
          <t>目录</t>
        </is>
      </c>
    </row>
    <row r="16">
      <c r="A16" s="7" t="inlineStr">
        <is>
          <t>执行摘要</t>
        </is>
      </c>
    </row>
    <row r="17">
      <c r="A17" s="7" t="inlineStr">
        <is>
          <t>INC_事件分析</t>
        </is>
      </c>
    </row>
    <row r="18">
      <c r="A18" s="7" t="inlineStr">
        <is>
          <t>INC_SLA分析</t>
        </is>
      </c>
    </row>
    <row r="19">
      <c r="A19" s="7" t="inlineStr">
        <is>
          <t>CHG_变更分析</t>
        </is>
      </c>
    </row>
    <row r="20">
      <c r="A20" s="7" t="inlineStr">
        <is>
          <t>SRQ_请求分析</t>
        </is>
      </c>
    </row>
    <row r="21">
      <c r="A21" s="7" t="inlineStr">
        <is>
          <t>PRO_问题分析</t>
        </is>
      </c>
    </row>
    <row r="22">
      <c r="A22" s="7" t="inlineStr">
        <is>
          <t>CRO_跨流程关联</t>
        </is>
      </c>
    </row>
    <row r="23">
      <c r="A23" s="7" t="inlineStr">
        <is>
          <t>CRO_人员与效率</t>
        </is>
      </c>
    </row>
    <row r="24">
      <c r="A24" s="7" t="inlineStr">
        <is>
          <t>CRO_时间维度</t>
        </is>
      </c>
    </row>
    <row r="25">
      <c r="A25" s="7" t="inlineStr">
        <is>
          <t>行动计划</t>
        </is>
      </c>
    </row>
    <row r="27" ht="26" customHeight="1">
      <c r="A27" s="3" t="inlineStr">
        <is>
          <t>可视化分析</t>
        </is>
      </c>
    </row>
    <row r="28" ht="16" customHeight="1">
      <c r="A28" s="8" t="inlineStr">
        <is>
          <t>整体健康评分仪表盘</t>
        </is>
      </c>
    </row>
    <row r="48" ht="16" customHeight="1">
      <c r="A48" s="8" t="inlineStr">
        <is>
          <t>四大ITIL流程健康雷达图</t>
        </is>
      </c>
    </row>
    <row r="75" ht="26" customHeight="1">
      <c r="A75" s="3" t="inlineStr">
        <is>
          <t>主要风险</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洞察分析</t>
        </is>
      </c>
    </row>
    <row r="85" ht="30" customHeight="1">
      <c r="A85" s="10" t="inlineStr">
        <is>
          <t>📌 发现：服务健康度处于高风险状态，健康评分仅为33/100，远低于可接受水平。关键发现一：事件数量异常庞大，总计8977起，与变更（50次）、请求（50次）和问题（50次）的数量级形成巨大反差，表明日常运营被大量、高频的故障或中断所主导，而非主动的服务改进或问题预防。关键发现二：风险集中度高，已识别出5项顶级风险，结合极低的健康评分，说明这些风险可能已对核心服务造成了实质性且持续的影响。</t>
        </is>
      </c>
    </row>
    <row r="86" ht="6" customHeight="1"/>
    <row r="87" ht="30" customHeight="1">
      <c r="A87" s="10" t="inlineStr">
        <is>
          <t>🔍 原因：根因分析指向多个维度。技术层面，事件数量（8977）与问题数量（50）的比值高达179.5:1，表明绝大多数事件未被有效归类或追溯到根本原因，停留在“救火”模式，导致重复性故障频发。流程与管理层面，变更数量（50）相对有限，且与事件海量增长不匹配，说明变更管理流程可能未能有效前置风险控制或回滚机制，新变更可能直接引发了大量事件；同时，事件管理流程效率低下，未能将事件有效转化为问题进行根治。人员与协作层面，面对近9000起事件，团队资源可能被严重透支在应急响应上，缺乏精力进行系统性优化和风险缓解。</t>
        </is>
      </c>
    </row>
    <row r="88" ht="6" customHeight="1"/>
    <row r="89" ht="30" customHeight="1">
      <c r="A89" s="10" t="inlineStr">
        <is>
          <t>💡 建议：立即启动“事件收敛与根因治理”专项，强制将高频或高影响事件转化为问题记录并进行根因分析。</t>
        </is>
      </c>
    </row>
    <row r="90" ht="30" customHeight="1">
      <c r="A90" s="10" t="inlineStr">
        <is>
          <t>📈 预期：在下一报告周期内，将事件总数降低20%以上，并将健康评分提升至50分以上。</t>
        </is>
      </c>
    </row>
    <row r="91" ht="10" customHeight="1"/>
    <row r="92" ht="10" customHeight="1"/>
    <row r="93">
      <c r="A93" s="11" t="inlineStr">
        <is>
          <t>由客户跨流程总览报告生成 • 2026-02-04 13:18</t>
        </is>
      </c>
    </row>
  </sheetData>
  <mergeCells count="14">
    <mergeCell ref="A85:J85"/>
    <mergeCell ref="A1:J1"/>
    <mergeCell ref="A75:J75"/>
    <mergeCell ref="A84:J84"/>
    <mergeCell ref="A93:J93"/>
    <mergeCell ref="A89:J89"/>
    <mergeCell ref="A27:J27"/>
    <mergeCell ref="A15:J15"/>
    <mergeCell ref="A4:J4"/>
    <mergeCell ref="A48:J48"/>
    <mergeCell ref="A87:J87"/>
    <mergeCell ref="A2:J2"/>
    <mergeCell ref="A28:J28"/>
    <mergeCell ref="A90:J90"/>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E222"/>
  <sheetViews>
    <sheetView workbookViewId="0">
      <selection activeCell="A1" sqref="A1"/>
    </sheetView>
  </sheetViews>
  <sheetFormatPr baseColWidth="8" defaultRowHeight="15"/>
  <sheetData>
    <row r="1">
      <c r="A1" t="inlineStr">
        <is>
          <t>Segment</t>
        </is>
      </c>
      <c r="B1" t="inlineStr">
        <is>
          <t>Value</t>
        </is>
      </c>
    </row>
    <row r="2">
      <c r="A2" t="inlineStr">
        <is>
          <t>Score</t>
        </is>
      </c>
      <c r="B2" t="n">
        <v>33</v>
      </c>
    </row>
    <row r="3">
      <c r="A3" t="inlineStr">
        <is>
          <t>Remaining</t>
        </is>
      </c>
      <c r="B3" t="n">
        <v>67</v>
      </c>
    </row>
    <row r="5">
      <c r="A5" t="inlineStr">
        <is>
          <t>KPI</t>
        </is>
      </c>
      <c r="B5" t="inlineStr">
        <is>
          <t>得分</t>
        </is>
      </c>
    </row>
    <row r="6">
      <c r="A6" t="inlineStr">
        <is>
          <t>事件(SLA)</t>
        </is>
      </c>
      <c r="B6" t="n">
        <v>64.2</v>
      </c>
    </row>
    <row r="7">
      <c r="A7" t="inlineStr">
        <is>
          <t>变更(成功率)</t>
        </is>
      </c>
      <c r="B7" t="n">
        <v>84</v>
      </c>
    </row>
    <row r="8">
      <c r="A8" t="inlineStr">
        <is>
          <t>请求(完成率)</t>
        </is>
      </c>
      <c r="B8" t="n">
        <v>66</v>
      </c>
    </row>
    <row r="9">
      <c r="A9" t="inlineStr">
        <is>
          <t>问题(关闭率)</t>
        </is>
      </c>
      <c r="B9" t="n">
        <v>48</v>
      </c>
    </row>
    <row r="11">
      <c r="A11" t="inlineStr">
        <is>
          <t>月份</t>
        </is>
      </c>
      <c r="B11" t="inlineStr">
        <is>
          <t>数量</t>
        </is>
      </c>
      <c r="C11" t="inlineStr">
        <is>
          <t>完成率%</t>
        </is>
      </c>
    </row>
    <row r="12">
      <c r="A12" t="inlineStr">
        <is>
          <t>2024-04</t>
        </is>
      </c>
      <c r="B12" t="n">
        <v>195</v>
      </c>
      <c r="C12" t="n">
        <v>46.2</v>
      </c>
    </row>
    <row r="13">
      <c r="A13" t="inlineStr">
        <is>
          <t>2024-05</t>
        </is>
      </c>
      <c r="B13" t="n">
        <v>725</v>
      </c>
      <c r="C13" t="n">
        <v>60.3</v>
      </c>
    </row>
    <row r="14">
      <c r="A14" t="inlineStr">
        <is>
          <t>2024-06</t>
        </is>
      </c>
      <c r="B14" t="n">
        <v>924</v>
      </c>
      <c r="C14" t="n">
        <v>62.9</v>
      </c>
    </row>
    <row r="15">
      <c r="A15" t="inlineStr">
        <is>
          <t>2024-07</t>
        </is>
      </c>
      <c r="B15" t="n">
        <v>1007</v>
      </c>
      <c r="C15" t="n">
        <v>64.3</v>
      </c>
    </row>
    <row r="16">
      <c r="A16" t="inlineStr">
        <is>
          <t>2024-08</t>
        </is>
      </c>
      <c r="B16" t="n">
        <v>712</v>
      </c>
      <c r="C16" t="n">
        <v>62.8</v>
      </c>
    </row>
    <row r="17">
      <c r="A17" t="inlineStr">
        <is>
          <t>2024-09</t>
        </is>
      </c>
      <c r="B17" t="n">
        <v>621</v>
      </c>
      <c r="C17" t="n">
        <v>74.59999999999999</v>
      </c>
    </row>
    <row r="18">
      <c r="A18" t="inlineStr">
        <is>
          <t>2024-10</t>
        </is>
      </c>
      <c r="B18" t="n">
        <v>542</v>
      </c>
      <c r="C18" t="n">
        <v>69.40000000000001</v>
      </c>
    </row>
    <row r="19">
      <c r="A19" t="inlineStr">
        <is>
          <t>2024-11</t>
        </is>
      </c>
      <c r="B19" t="n">
        <v>441</v>
      </c>
      <c r="C19" t="n">
        <v>65.8</v>
      </c>
    </row>
    <row r="20">
      <c r="A20" t="inlineStr">
        <is>
          <t>2024-12</t>
        </is>
      </c>
      <c r="B20" t="n">
        <v>432</v>
      </c>
      <c r="C20" t="n">
        <v>66.2</v>
      </c>
    </row>
    <row r="21">
      <c r="A21" t="inlineStr">
        <is>
          <t>2025-01</t>
        </is>
      </c>
      <c r="B21" t="n">
        <v>511</v>
      </c>
      <c r="C21" t="n">
        <v>65.90000000000001</v>
      </c>
    </row>
    <row r="22">
      <c r="A22" t="inlineStr">
        <is>
          <t>2025-02</t>
        </is>
      </c>
      <c r="B22" t="n">
        <v>410</v>
      </c>
      <c r="C22" t="n">
        <v>66.8</v>
      </c>
    </row>
    <row r="23">
      <c r="A23" t="inlineStr">
        <is>
          <t>2025-03</t>
        </is>
      </c>
      <c r="B23" t="n">
        <v>599</v>
      </c>
      <c r="C23" t="n">
        <v>66.09999999999999</v>
      </c>
    </row>
    <row r="24">
      <c r="A24" t="inlineStr">
        <is>
          <t>2025-04</t>
        </is>
      </c>
      <c r="B24" t="n">
        <v>491</v>
      </c>
      <c r="C24" t="n">
        <v>58.5</v>
      </c>
    </row>
    <row r="25">
      <c r="A25" t="inlineStr">
        <is>
          <t>2025-05</t>
        </is>
      </c>
      <c r="B25" t="n">
        <v>652</v>
      </c>
      <c r="C25" t="n">
        <v>59.4</v>
      </c>
    </row>
    <row r="26">
      <c r="A26" t="inlineStr">
        <is>
          <t>2025-06</t>
        </is>
      </c>
      <c r="B26" t="n">
        <v>641</v>
      </c>
      <c r="C26" t="n">
        <v>66.8</v>
      </c>
    </row>
    <row r="27">
      <c r="A27" t="inlineStr">
        <is>
          <t>2025-07</t>
        </is>
      </c>
      <c r="B27" t="n">
        <v>74</v>
      </c>
      <c r="C27" t="n">
        <v>50</v>
      </c>
    </row>
    <row r="29">
      <c r="A29" t="inlineStr">
        <is>
          <t>优先级</t>
        </is>
      </c>
      <c r="B29" t="inlineStr">
        <is>
          <t>数量</t>
        </is>
      </c>
    </row>
    <row r="30">
      <c r="A30" t="inlineStr">
        <is>
          <t>P4</t>
        </is>
      </c>
      <c r="B30" t="n">
        <v>4042</v>
      </c>
    </row>
    <row r="31">
      <c r="A31" t="inlineStr">
        <is>
          <t>P1</t>
        </is>
      </c>
      <c r="B31" t="n">
        <v>448</v>
      </c>
    </row>
    <row r="32">
      <c r="A32" t="inlineStr">
        <is>
          <t>P3</t>
        </is>
      </c>
      <c r="B32" t="n">
        <v>3141</v>
      </c>
    </row>
    <row r="33">
      <c r="A33" t="inlineStr">
        <is>
          <t>P2</t>
        </is>
      </c>
      <c r="B33" t="n">
        <v>1346</v>
      </c>
    </row>
    <row r="35">
      <c r="A35" t="inlineStr">
        <is>
          <t>类别</t>
        </is>
      </c>
      <c r="B35" t="inlineStr">
        <is>
          <t>数量</t>
        </is>
      </c>
    </row>
    <row r="36">
      <c r="A36" t="inlineStr">
        <is>
          <t>Digital View Monitoring</t>
        </is>
      </c>
      <c r="B36" t="n">
        <v>3936</v>
      </c>
    </row>
    <row r="37">
      <c r="A37" t="inlineStr">
        <is>
          <t>International Money Transfer</t>
        </is>
      </c>
      <c r="B37" t="n">
        <v>809</v>
      </c>
    </row>
    <row r="38">
      <c r="A38" t="inlineStr">
        <is>
          <t>Card</t>
        </is>
      </c>
      <c r="B38" t="n">
        <v>790</v>
      </c>
    </row>
    <row r="39">
      <c r="A39" t="inlineStr">
        <is>
          <t>Onboarding</t>
        </is>
      </c>
      <c r="B39" t="n">
        <v>706</v>
      </c>
    </row>
    <row r="40">
      <c r="A40" t="inlineStr">
        <is>
          <t>Other</t>
        </is>
      </c>
      <c r="B40" t="n">
        <v>656</v>
      </c>
    </row>
    <row r="41">
      <c r="A41" t="inlineStr">
        <is>
          <t>Cash In</t>
        </is>
      </c>
      <c r="B41" t="n">
        <v>411</v>
      </c>
    </row>
    <row r="42">
      <c r="A42" t="inlineStr">
        <is>
          <t>Outward Fund transfer</t>
        </is>
      </c>
      <c r="B42" t="n">
        <v>320</v>
      </c>
    </row>
    <row r="43">
      <c r="A43" t="inlineStr">
        <is>
          <t>Cardless Cash Out</t>
        </is>
      </c>
      <c r="B43" t="n">
        <v>311</v>
      </c>
    </row>
    <row r="44">
      <c r="A44" t="inlineStr">
        <is>
          <t>Account Management</t>
        </is>
      </c>
      <c r="B44" t="n">
        <v>266</v>
      </c>
    </row>
    <row r="45">
      <c r="A45" t="inlineStr">
        <is>
          <t>Compliance</t>
        </is>
      </c>
      <c r="B45" t="n">
        <v>220</v>
      </c>
    </row>
    <row r="47">
      <c r="A47" t="inlineStr">
        <is>
          <t>Segment</t>
        </is>
      </c>
      <c r="B47" t="inlineStr">
        <is>
          <t>Value</t>
        </is>
      </c>
    </row>
    <row r="48">
      <c r="A48" t="inlineStr">
        <is>
          <t>Met</t>
        </is>
      </c>
      <c r="B48" t="n">
        <v>64.2</v>
      </c>
    </row>
    <row r="49">
      <c r="A49" t="inlineStr">
        <is>
          <t>Gap</t>
        </is>
      </c>
      <c r="B49" t="n">
        <v>35.8</v>
      </c>
    </row>
    <row r="51">
      <c r="A51" t="inlineStr">
        <is>
          <t>Segment</t>
        </is>
      </c>
      <c r="B51" t="inlineStr">
        <is>
          <t>Value</t>
        </is>
      </c>
    </row>
    <row r="52">
      <c r="A52" t="inlineStr">
        <is>
          <t>Met</t>
        </is>
      </c>
      <c r="B52" t="n">
        <v>99.2</v>
      </c>
    </row>
    <row r="53">
      <c r="A53" t="inlineStr">
        <is>
          <t>Gap</t>
        </is>
      </c>
      <c r="B53" t="n">
        <v>0.8</v>
      </c>
    </row>
    <row r="55">
      <c r="A55" t="inlineStr">
        <is>
          <t>月份</t>
        </is>
      </c>
      <c r="B55" t="inlineStr">
        <is>
          <t>SLA%</t>
        </is>
      </c>
      <c r="C55" t="inlineStr">
        <is>
          <t>目标</t>
        </is>
      </c>
    </row>
    <row r="56">
      <c r="A56" t="inlineStr">
        <is>
          <t>2024-04</t>
        </is>
      </c>
      <c r="B56" t="n">
        <v>46.2</v>
      </c>
      <c r="C56" t="n">
        <v>95</v>
      </c>
    </row>
    <row r="57">
      <c r="A57" t="inlineStr">
        <is>
          <t>2024-05</t>
        </is>
      </c>
      <c r="B57" t="n">
        <v>60.3</v>
      </c>
      <c r="C57" t="n">
        <v>95</v>
      </c>
    </row>
    <row r="58">
      <c r="A58" t="inlineStr">
        <is>
          <t>2024-06</t>
        </is>
      </c>
      <c r="B58" t="n">
        <v>62.9</v>
      </c>
      <c r="C58" t="n">
        <v>95</v>
      </c>
    </row>
    <row r="59">
      <c r="A59" t="inlineStr">
        <is>
          <t>2024-07</t>
        </is>
      </c>
      <c r="B59" t="n">
        <v>64.3</v>
      </c>
      <c r="C59" t="n">
        <v>95</v>
      </c>
    </row>
    <row r="60">
      <c r="A60" t="inlineStr">
        <is>
          <t>2024-08</t>
        </is>
      </c>
      <c r="B60" t="n">
        <v>62.8</v>
      </c>
      <c r="C60" t="n">
        <v>95</v>
      </c>
    </row>
    <row r="61">
      <c r="A61" t="inlineStr">
        <is>
          <t>2024-09</t>
        </is>
      </c>
      <c r="B61" t="n">
        <v>74.59999999999999</v>
      </c>
      <c r="C61" t="n">
        <v>95</v>
      </c>
    </row>
    <row r="62">
      <c r="A62" t="inlineStr">
        <is>
          <t>2024-10</t>
        </is>
      </c>
      <c r="B62" t="n">
        <v>69.40000000000001</v>
      </c>
      <c r="C62" t="n">
        <v>95</v>
      </c>
    </row>
    <row r="63">
      <c r="A63" t="inlineStr">
        <is>
          <t>2024-11</t>
        </is>
      </c>
      <c r="B63" t="n">
        <v>65.8</v>
      </c>
      <c r="C63" t="n">
        <v>95</v>
      </c>
    </row>
    <row r="64">
      <c r="A64" t="inlineStr">
        <is>
          <t>2024-12</t>
        </is>
      </c>
      <c r="B64" t="n">
        <v>66.2</v>
      </c>
      <c r="C64" t="n">
        <v>95</v>
      </c>
    </row>
    <row r="65">
      <c r="A65" t="inlineStr">
        <is>
          <t>2025-01</t>
        </is>
      </c>
      <c r="B65" t="n">
        <v>65.90000000000001</v>
      </c>
      <c r="C65" t="n">
        <v>95</v>
      </c>
    </row>
    <row r="66">
      <c r="A66" t="inlineStr">
        <is>
          <t>2025-02</t>
        </is>
      </c>
      <c r="B66" t="n">
        <v>66.8</v>
      </c>
      <c r="C66" t="n">
        <v>95</v>
      </c>
    </row>
    <row r="67">
      <c r="A67" t="inlineStr">
        <is>
          <t>2025-03</t>
        </is>
      </c>
      <c r="B67" t="n">
        <v>66.09999999999999</v>
      </c>
      <c r="C67" t="n">
        <v>95</v>
      </c>
    </row>
    <row r="68">
      <c r="A68" t="inlineStr">
        <is>
          <t>2025-04</t>
        </is>
      </c>
      <c r="B68" t="n">
        <v>58.5</v>
      </c>
      <c r="C68" t="n">
        <v>95</v>
      </c>
    </row>
    <row r="69">
      <c r="A69" t="inlineStr">
        <is>
          <t>2025-05</t>
        </is>
      </c>
      <c r="B69" t="n">
        <v>59.4</v>
      </c>
      <c r="C69" t="n">
        <v>95</v>
      </c>
    </row>
    <row r="70">
      <c r="A70" t="inlineStr">
        <is>
          <t>2025-06</t>
        </is>
      </c>
      <c r="B70" t="n">
        <v>66.8</v>
      </c>
      <c r="C70" t="n">
        <v>95</v>
      </c>
    </row>
    <row r="71">
      <c r="A71" t="inlineStr">
        <is>
          <t>2025-07</t>
        </is>
      </c>
      <c r="B71" t="n">
        <v>50</v>
      </c>
      <c r="C71" t="n">
        <v>95</v>
      </c>
    </row>
    <row r="73">
      <c r="A73" t="inlineStr">
        <is>
          <t>类型</t>
        </is>
      </c>
      <c r="B73" t="inlineStr">
        <is>
          <t>数量</t>
        </is>
      </c>
    </row>
    <row r="74">
      <c r="A74" t="inlineStr">
        <is>
          <t>Type0</t>
        </is>
      </c>
      <c r="B74" t="n">
        <v>30</v>
      </c>
    </row>
    <row r="75">
      <c r="A75" t="inlineStr">
        <is>
          <t>Type1</t>
        </is>
      </c>
      <c r="B75" t="n">
        <v>15</v>
      </c>
    </row>
    <row r="76">
      <c r="A76" t="inlineStr">
        <is>
          <t>Type2</t>
        </is>
      </c>
      <c r="B76" t="n">
        <v>5</v>
      </c>
    </row>
    <row r="78">
      <c r="A78" t="inlineStr">
        <is>
          <t>月份</t>
        </is>
      </c>
      <c r="B78" t="inlineStr">
        <is>
          <t>成功率%</t>
        </is>
      </c>
      <c r="C78" t="inlineStr">
        <is>
          <t>阈值</t>
        </is>
      </c>
    </row>
    <row r="79">
      <c r="A79" t="inlineStr">
        <is>
          <t>2024-04</t>
        </is>
      </c>
      <c r="B79" t="n">
        <v>0</v>
      </c>
      <c r="C79" t="n">
        <v>90</v>
      </c>
    </row>
    <row r="80">
      <c r="A80" t="inlineStr">
        <is>
          <t>2024-05</t>
        </is>
      </c>
      <c r="B80" t="n">
        <v>0</v>
      </c>
      <c r="C80" t="n">
        <v>90</v>
      </c>
    </row>
    <row r="81">
      <c r="A81" t="inlineStr">
        <is>
          <t>2024-06</t>
        </is>
      </c>
      <c r="B81" t="n">
        <v>0</v>
      </c>
      <c r="C81" t="n">
        <v>90</v>
      </c>
    </row>
    <row r="82">
      <c r="A82" t="inlineStr">
        <is>
          <t>2024-07</t>
        </is>
      </c>
      <c r="B82" t="n">
        <v>0</v>
      </c>
      <c r="C82" t="n">
        <v>90</v>
      </c>
    </row>
    <row r="83">
      <c r="A83" t="inlineStr">
        <is>
          <t>2024-08</t>
        </is>
      </c>
      <c r="B83" t="n">
        <v>0</v>
      </c>
      <c r="C83" t="n">
        <v>90</v>
      </c>
    </row>
    <row r="84">
      <c r="A84" t="inlineStr">
        <is>
          <t>2024-09</t>
        </is>
      </c>
      <c r="B84" t="n">
        <v>0</v>
      </c>
      <c r="C84" t="n">
        <v>90</v>
      </c>
    </row>
    <row r="85">
      <c r="A85" t="inlineStr">
        <is>
          <t>2024-10</t>
        </is>
      </c>
      <c r="B85" t="n">
        <v>0</v>
      </c>
      <c r="C85" t="n">
        <v>90</v>
      </c>
    </row>
    <row r="86">
      <c r="A86" t="inlineStr">
        <is>
          <t>2024-11</t>
        </is>
      </c>
      <c r="B86" t="n">
        <v>100</v>
      </c>
      <c r="C86" t="n">
        <v>90</v>
      </c>
    </row>
    <row r="87">
      <c r="A87" t="inlineStr">
        <is>
          <t>2024-12</t>
        </is>
      </c>
      <c r="B87" t="n">
        <v>81.2</v>
      </c>
      <c r="C87" t="n">
        <v>90</v>
      </c>
    </row>
    <row r="88">
      <c r="A88" t="inlineStr">
        <is>
          <t>2025-01</t>
        </is>
      </c>
      <c r="B88" t="n">
        <v>81.8</v>
      </c>
      <c r="C88" t="n">
        <v>90</v>
      </c>
    </row>
    <row r="89">
      <c r="A89" t="inlineStr">
        <is>
          <t>2025-02</t>
        </is>
      </c>
      <c r="B89" t="n">
        <v>0</v>
      </c>
      <c r="C89" t="n">
        <v>90</v>
      </c>
    </row>
    <row r="90">
      <c r="A90" t="inlineStr">
        <is>
          <t>2025-03</t>
        </is>
      </c>
      <c r="B90" t="n">
        <v>0</v>
      </c>
      <c r="C90" t="n">
        <v>90</v>
      </c>
    </row>
    <row r="91">
      <c r="A91" t="inlineStr">
        <is>
          <t>2025-04</t>
        </is>
      </c>
      <c r="B91" t="n">
        <v>0</v>
      </c>
      <c r="C91" t="n">
        <v>90</v>
      </c>
    </row>
    <row r="92">
      <c r="A92" t="inlineStr">
        <is>
          <t>2025-05</t>
        </is>
      </c>
      <c r="B92" t="n">
        <v>0</v>
      </c>
      <c r="C92" t="n">
        <v>90</v>
      </c>
    </row>
    <row r="93">
      <c r="A93" t="inlineStr">
        <is>
          <t>2025-06</t>
        </is>
      </c>
      <c r="B93" t="n">
        <v>0</v>
      </c>
      <c r="C93" t="n">
        <v>90</v>
      </c>
    </row>
    <row r="94">
      <c r="A94" t="inlineStr">
        <is>
          <t>2025-07</t>
        </is>
      </c>
      <c r="B94" t="n">
        <v>0</v>
      </c>
      <c r="C94" t="n">
        <v>90</v>
      </c>
    </row>
    <row r="96">
      <c r="A96" t="inlineStr">
        <is>
          <t>类别</t>
        </is>
      </c>
      <c r="B96" t="inlineStr">
        <is>
          <t>总计</t>
        </is>
      </c>
      <c r="C96" t="inlineStr">
        <is>
          <t>失败</t>
        </is>
      </c>
    </row>
    <row r="97">
      <c r="A97" t="inlineStr">
        <is>
          <t>Infrastructure</t>
        </is>
      </c>
      <c r="B97" t="n">
        <v>16</v>
      </c>
      <c r="C97" t="n">
        <v>0</v>
      </c>
    </row>
    <row r="98">
      <c r="A98" t="inlineStr">
        <is>
          <t>Application</t>
        </is>
      </c>
      <c r="B98" t="n">
        <v>11</v>
      </c>
      <c r="C98" t="n">
        <v>0</v>
      </c>
    </row>
    <row r="99">
      <c r="A99" t="inlineStr">
        <is>
          <t>Database</t>
        </is>
      </c>
      <c r="B99" t="n">
        <v>9</v>
      </c>
      <c r="C99" t="n">
        <v>0</v>
      </c>
    </row>
    <row r="100">
      <c r="A100" t="inlineStr">
        <is>
          <t>Network</t>
        </is>
      </c>
      <c r="B100" t="n">
        <v>7</v>
      </c>
      <c r="C100" t="n">
        <v>0</v>
      </c>
    </row>
    <row r="101">
      <c r="A101" t="inlineStr">
        <is>
          <t>Security</t>
        </is>
      </c>
      <c r="B101" t="n">
        <v>7</v>
      </c>
      <c r="C101" t="n">
        <v>0</v>
      </c>
    </row>
    <row r="103">
      <c r="A103" t="inlineStr">
        <is>
          <t>类型</t>
        </is>
      </c>
      <c r="B103" t="inlineStr">
        <is>
          <t>数量</t>
        </is>
      </c>
    </row>
    <row r="104">
      <c r="A104" t="inlineStr">
        <is>
          <t>Type0</t>
        </is>
      </c>
      <c r="B104" t="n">
        <v>20</v>
      </c>
    </row>
    <row r="105">
      <c r="A105" t="inlineStr">
        <is>
          <t>Type1</t>
        </is>
      </c>
      <c r="B105" t="n">
        <v>14</v>
      </c>
    </row>
    <row r="106">
      <c r="A106" t="inlineStr">
        <is>
          <t>Type2</t>
        </is>
      </c>
      <c r="B106" t="n">
        <v>7</v>
      </c>
    </row>
    <row r="107">
      <c r="A107" t="inlineStr">
        <is>
          <t>Type3</t>
        </is>
      </c>
      <c r="B107" t="n">
        <v>9</v>
      </c>
    </row>
    <row r="109">
      <c r="A109" t="inlineStr">
        <is>
          <t>评分</t>
        </is>
      </c>
      <c r="B109" t="inlineStr">
        <is>
          <t>数量</t>
        </is>
      </c>
    </row>
    <row r="110">
      <c r="A110" t="inlineStr">
        <is>
          <t>5</t>
        </is>
      </c>
      <c r="B110" t="n">
        <v>10</v>
      </c>
    </row>
    <row r="111">
      <c r="A111" t="inlineStr">
        <is>
          <t>4</t>
        </is>
      </c>
      <c r="B111" t="n">
        <v>9</v>
      </c>
    </row>
    <row r="112">
      <c r="A112" t="inlineStr">
        <is>
          <t>3</t>
        </is>
      </c>
      <c r="B112" t="n">
        <v>7</v>
      </c>
    </row>
    <row r="113">
      <c r="A113" t="inlineStr">
        <is>
          <t>2</t>
        </is>
      </c>
      <c r="B113" t="n">
        <v>5</v>
      </c>
    </row>
    <row r="114">
      <c r="A114" t="inlineStr">
        <is>
          <t>1</t>
        </is>
      </c>
      <c r="B114" t="n">
        <v>2</v>
      </c>
    </row>
    <row r="116">
      <c r="A116" t="inlineStr">
        <is>
          <t>月份</t>
        </is>
      </c>
      <c r="B116" t="inlineStr">
        <is>
          <t>数量</t>
        </is>
      </c>
      <c r="C116" t="inlineStr">
        <is>
          <t>平均满意度</t>
        </is>
      </c>
    </row>
    <row r="117">
      <c r="A117" t="inlineStr">
        <is>
          <t>2024-04</t>
        </is>
      </c>
      <c r="B117" t="n">
        <v>0</v>
      </c>
      <c r="C117" t="n">
        <v>0</v>
      </c>
    </row>
    <row r="118">
      <c r="A118" t="inlineStr">
        <is>
          <t>2024-05</t>
        </is>
      </c>
      <c r="B118" t="n">
        <v>0</v>
      </c>
      <c r="C118" t="n">
        <v>0</v>
      </c>
    </row>
    <row r="119">
      <c r="A119" t="inlineStr">
        <is>
          <t>2024-06</t>
        </is>
      </c>
      <c r="B119" t="n">
        <v>0</v>
      </c>
      <c r="C119" t="n">
        <v>0</v>
      </c>
    </row>
    <row r="120">
      <c r="A120" t="inlineStr">
        <is>
          <t>2024-07</t>
        </is>
      </c>
      <c r="B120" t="n">
        <v>0</v>
      </c>
      <c r="C120" t="n">
        <v>0</v>
      </c>
    </row>
    <row r="121">
      <c r="A121" t="inlineStr">
        <is>
          <t>2024-08</t>
        </is>
      </c>
      <c r="B121" t="n">
        <v>0</v>
      </c>
      <c r="C121" t="n">
        <v>0</v>
      </c>
    </row>
    <row r="122">
      <c r="A122" t="inlineStr">
        <is>
          <t>2024-09</t>
        </is>
      </c>
      <c r="B122" t="n">
        <v>0</v>
      </c>
      <c r="C122" t="n">
        <v>0</v>
      </c>
    </row>
    <row r="123">
      <c r="A123" t="inlineStr">
        <is>
          <t>2024-10</t>
        </is>
      </c>
      <c r="B123" t="n">
        <v>0</v>
      </c>
      <c r="C123" t="n">
        <v>0</v>
      </c>
    </row>
    <row r="124">
      <c r="A124" t="inlineStr">
        <is>
          <t>2024-11</t>
        </is>
      </c>
      <c r="B124" t="n">
        <v>9</v>
      </c>
      <c r="C124" t="n">
        <v>0</v>
      </c>
    </row>
    <row r="125">
      <c r="A125" t="inlineStr">
        <is>
          <t>2024-12</t>
        </is>
      </c>
      <c r="B125" t="n">
        <v>30</v>
      </c>
      <c r="C125" t="n">
        <v>0</v>
      </c>
    </row>
    <row r="126">
      <c r="A126" t="inlineStr">
        <is>
          <t>2025-01</t>
        </is>
      </c>
      <c r="B126" t="n">
        <v>11</v>
      </c>
      <c r="C126" t="n">
        <v>0</v>
      </c>
    </row>
    <row r="127">
      <c r="A127" t="inlineStr">
        <is>
          <t>2025-02</t>
        </is>
      </c>
      <c r="B127" t="n">
        <v>0</v>
      </c>
      <c r="C127" t="n">
        <v>0</v>
      </c>
    </row>
    <row r="128">
      <c r="A128" t="inlineStr">
        <is>
          <t>2025-03</t>
        </is>
      </c>
      <c r="B128" t="n">
        <v>0</v>
      </c>
      <c r="C128" t="n">
        <v>0</v>
      </c>
    </row>
    <row r="129">
      <c r="A129" t="inlineStr">
        <is>
          <t>2025-04</t>
        </is>
      </c>
      <c r="B129" t="n">
        <v>0</v>
      </c>
      <c r="C129" t="n">
        <v>0</v>
      </c>
    </row>
    <row r="130">
      <c r="A130" t="inlineStr">
        <is>
          <t>2025-05</t>
        </is>
      </c>
      <c r="B130" t="n">
        <v>0</v>
      </c>
      <c r="C130" t="n">
        <v>0</v>
      </c>
    </row>
    <row r="131">
      <c r="A131" t="inlineStr">
        <is>
          <t>2025-06</t>
        </is>
      </c>
      <c r="B131" t="n">
        <v>0</v>
      </c>
      <c r="C131" t="n">
        <v>0</v>
      </c>
    </row>
    <row r="132">
      <c r="A132" t="inlineStr">
        <is>
          <t>2025-07</t>
        </is>
      </c>
      <c r="B132" t="n">
        <v>0</v>
      </c>
      <c r="C132" t="n">
        <v>0</v>
      </c>
    </row>
    <row r="134">
      <c r="A134" t="inlineStr">
        <is>
          <t>请求类型</t>
        </is>
      </c>
      <c r="B134" t="inlineStr">
        <is>
          <t>Min</t>
        </is>
      </c>
      <c r="C134" t="inlineStr">
        <is>
          <t>均值</t>
        </is>
      </c>
      <c r="D134" t="inlineStr">
        <is>
          <t>Max</t>
        </is>
      </c>
    </row>
    <row r="135">
      <c r="A135" t="inlineStr">
        <is>
          <t>Access</t>
        </is>
      </c>
      <c r="B135" t="n">
        <v>6</v>
      </c>
      <c r="C135" t="n">
        <v>24.6</v>
      </c>
      <c r="D135" t="n">
        <v>60</v>
      </c>
    </row>
    <row r="136">
      <c r="A136" t="inlineStr">
        <is>
          <t>Information</t>
        </is>
      </c>
      <c r="B136" t="n">
        <v>11</v>
      </c>
      <c r="C136" t="n">
        <v>39.3</v>
      </c>
      <c r="D136" t="n">
        <v>57</v>
      </c>
    </row>
    <row r="137">
      <c r="A137" t="inlineStr">
        <is>
          <t>Provisioning</t>
        </is>
      </c>
      <c r="B137" t="n">
        <v>9</v>
      </c>
      <c r="C137" t="n">
        <v>45.9</v>
      </c>
      <c r="D137" t="n">
        <v>72</v>
      </c>
    </row>
    <row r="138">
      <c r="A138" t="inlineStr">
        <is>
          <t>Standard Change</t>
        </is>
      </c>
      <c r="B138" t="n">
        <v>11</v>
      </c>
      <c r="C138" t="n">
        <v>41.2</v>
      </c>
      <c r="D138" t="n">
        <v>61</v>
      </c>
    </row>
    <row r="140">
      <c r="A140" t="inlineStr">
        <is>
          <t>状态</t>
        </is>
      </c>
      <c r="B140" t="inlineStr">
        <is>
          <t>数量</t>
        </is>
      </c>
    </row>
    <row r="141">
      <c r="A141" t="inlineStr">
        <is>
          <t>Known Error</t>
        </is>
      </c>
      <c r="B141" t="n">
        <v>14</v>
      </c>
    </row>
    <row r="142">
      <c r="A142" t="inlineStr">
        <is>
          <t>Resolved</t>
        </is>
      </c>
      <c r="B142" t="n">
        <v>16</v>
      </c>
    </row>
    <row r="143">
      <c r="A143" t="inlineStr">
        <is>
          <t>Closed</t>
        </is>
      </c>
      <c r="B143" t="n">
        <v>8</v>
      </c>
    </row>
    <row r="144">
      <c r="A144" t="inlineStr">
        <is>
          <t>Under Investigation</t>
        </is>
      </c>
      <c r="B144" t="n">
        <v>10</v>
      </c>
    </row>
    <row r="145">
      <c r="A145" t="inlineStr">
        <is>
          <t>New</t>
        </is>
      </c>
      <c r="B145" t="n">
        <v>2</v>
      </c>
    </row>
    <row r="147">
      <c r="A147" t="inlineStr">
        <is>
          <t>根本原因</t>
        </is>
      </c>
      <c r="B147" t="inlineStr">
        <is>
          <t>数量</t>
        </is>
      </c>
    </row>
    <row r="148">
      <c r="A148" t="inlineStr">
        <is>
          <t>RC0</t>
        </is>
      </c>
      <c r="B148" t="n">
        <v>15</v>
      </c>
    </row>
    <row r="149">
      <c r="A149" t="inlineStr">
        <is>
          <t>RC1</t>
        </is>
      </c>
      <c r="B149" t="n">
        <v>8</v>
      </c>
    </row>
    <row r="150">
      <c r="A150" t="inlineStr">
        <is>
          <t>RC2</t>
        </is>
      </c>
      <c r="B150" t="n">
        <v>11</v>
      </c>
    </row>
    <row r="151">
      <c r="A151" t="inlineStr">
        <is>
          <t>RC3</t>
        </is>
      </c>
      <c r="B151" t="n">
        <v>13</v>
      </c>
    </row>
    <row r="152">
      <c r="A152" t="inlineStr">
        <is>
          <t>RC4</t>
        </is>
      </c>
      <c r="B152" t="n">
        <v>3</v>
      </c>
    </row>
    <row r="154">
      <c r="A154" t="inlineStr">
        <is>
          <t>月份</t>
        </is>
      </c>
      <c r="B154" t="inlineStr">
        <is>
          <t>数量</t>
        </is>
      </c>
      <c r="C154" t="inlineStr">
        <is>
          <t>累计</t>
        </is>
      </c>
    </row>
    <row r="155">
      <c r="A155" t="inlineStr">
        <is>
          <t>2024-04</t>
        </is>
      </c>
      <c r="B155" t="n">
        <v>0</v>
      </c>
      <c r="C155" t="n">
        <v>0</v>
      </c>
    </row>
    <row r="156">
      <c r="A156" t="inlineStr">
        <is>
          <t>2024-05</t>
        </is>
      </c>
      <c r="B156" t="n">
        <v>0</v>
      </c>
      <c r="C156" t="n">
        <v>0</v>
      </c>
    </row>
    <row r="157">
      <c r="A157" t="inlineStr">
        <is>
          <t>2024-06</t>
        </is>
      </c>
      <c r="B157" t="n">
        <v>0</v>
      </c>
      <c r="C157" t="n">
        <v>0</v>
      </c>
    </row>
    <row r="158">
      <c r="A158" t="inlineStr">
        <is>
          <t>2024-07</t>
        </is>
      </c>
      <c r="B158" t="n">
        <v>0</v>
      </c>
      <c r="C158" t="n">
        <v>0</v>
      </c>
    </row>
    <row r="159">
      <c r="A159" t="inlineStr">
        <is>
          <t>2024-08</t>
        </is>
      </c>
      <c r="B159" t="n">
        <v>0</v>
      </c>
      <c r="C159" t="n">
        <v>0</v>
      </c>
    </row>
    <row r="160">
      <c r="A160" t="inlineStr">
        <is>
          <t>2024-09</t>
        </is>
      </c>
      <c r="B160" t="n">
        <v>0</v>
      </c>
      <c r="C160" t="n">
        <v>0</v>
      </c>
    </row>
    <row r="161">
      <c r="A161" t="inlineStr">
        <is>
          <t>2024-10</t>
        </is>
      </c>
      <c r="B161" t="n">
        <v>0</v>
      </c>
      <c r="C161" t="n">
        <v>0</v>
      </c>
    </row>
    <row r="162">
      <c r="A162" t="inlineStr">
        <is>
          <t>2024-11</t>
        </is>
      </c>
      <c r="B162" t="n">
        <v>11</v>
      </c>
      <c r="C162" t="n">
        <v>11</v>
      </c>
    </row>
    <row r="163">
      <c r="A163" t="inlineStr">
        <is>
          <t>2024-12</t>
        </is>
      </c>
      <c r="B163" t="n">
        <v>28</v>
      </c>
      <c r="C163" t="n">
        <v>39</v>
      </c>
    </row>
    <row r="164">
      <c r="A164" t="inlineStr">
        <is>
          <t>2025-01</t>
        </is>
      </c>
      <c r="B164" t="n">
        <v>11</v>
      </c>
      <c r="C164" t="n">
        <v>50</v>
      </c>
    </row>
    <row r="165">
      <c r="A165" t="inlineStr">
        <is>
          <t>2025-02</t>
        </is>
      </c>
      <c r="B165" t="n">
        <v>0</v>
      </c>
      <c r="C165" t="n">
        <v>50</v>
      </c>
    </row>
    <row r="166">
      <c r="A166" t="inlineStr">
        <is>
          <t>2025-03</t>
        </is>
      </c>
      <c r="B166" t="n">
        <v>0</v>
      </c>
      <c r="C166" t="n">
        <v>50</v>
      </c>
    </row>
    <row r="167">
      <c r="A167" t="inlineStr">
        <is>
          <t>2025-04</t>
        </is>
      </c>
      <c r="B167" t="n">
        <v>0</v>
      </c>
      <c r="C167" t="n">
        <v>50</v>
      </c>
    </row>
    <row r="168">
      <c r="A168" t="inlineStr">
        <is>
          <t>2025-05</t>
        </is>
      </c>
      <c r="B168" t="n">
        <v>0</v>
      </c>
      <c r="C168" t="n">
        <v>50</v>
      </c>
    </row>
    <row r="169">
      <c r="A169" t="inlineStr">
        <is>
          <t>2025-06</t>
        </is>
      </c>
      <c r="B169" t="n">
        <v>0</v>
      </c>
      <c r="C169" t="n">
        <v>50</v>
      </c>
    </row>
    <row r="170">
      <c r="A170" t="inlineStr">
        <is>
          <t>2025-07</t>
        </is>
      </c>
      <c r="B170" t="n">
        <v>0</v>
      </c>
      <c r="C170" t="n">
        <v>50</v>
      </c>
    </row>
    <row r="172">
      <c r="A172" t="inlineStr">
        <is>
          <t>流向</t>
        </is>
      </c>
      <c r="B172" t="inlineStr">
        <is>
          <t>数量</t>
        </is>
      </c>
    </row>
    <row r="173">
      <c r="A173" t="inlineStr">
        <is>
          <t>变更→事件</t>
        </is>
      </c>
      <c r="B173" t="n">
        <v>9</v>
      </c>
    </row>
    <row r="175">
      <c r="A175" t="inlineStr">
        <is>
          <t>人员</t>
        </is>
      </c>
      <c r="B175" t="inlineStr">
        <is>
          <t>P1</t>
        </is>
      </c>
      <c r="C175" t="inlineStr">
        <is>
          <t>P2</t>
        </is>
      </c>
      <c r="D175" t="inlineStr">
        <is>
          <t>P3</t>
        </is>
      </c>
      <c r="E175" t="inlineStr">
        <is>
          <t>P4</t>
        </is>
      </c>
    </row>
    <row r="176">
      <c r="A176" t="inlineStr">
        <is>
          <t>Jessica Smith</t>
        </is>
      </c>
      <c r="B176" t="n">
        <v>21</v>
      </c>
      <c r="C176" t="n">
        <v>67</v>
      </c>
      <c r="D176" t="n">
        <v>150</v>
      </c>
      <c r="E176" t="n">
        <v>176</v>
      </c>
    </row>
    <row r="177">
      <c r="A177" t="inlineStr">
        <is>
          <t>Richard Smith</t>
        </is>
      </c>
      <c r="B177" t="n">
        <v>20</v>
      </c>
      <c r="C177" t="n">
        <v>50</v>
      </c>
      <c r="D177" t="n">
        <v>148</v>
      </c>
      <c r="E177" t="n">
        <v>177</v>
      </c>
    </row>
    <row r="178">
      <c r="A178" t="inlineStr">
        <is>
          <t>Joseph Smith</t>
        </is>
      </c>
      <c r="B178" t="n">
        <v>22</v>
      </c>
      <c r="C178" t="n">
        <v>56</v>
      </c>
      <c r="D178" t="n">
        <v>127</v>
      </c>
      <c r="E178" t="n">
        <v>188</v>
      </c>
    </row>
    <row r="179">
      <c r="A179" t="inlineStr">
        <is>
          <t>Thomas Smith</t>
        </is>
      </c>
      <c r="B179" t="n">
        <v>27</v>
      </c>
      <c r="C179" t="n">
        <v>54</v>
      </c>
      <c r="D179" t="n">
        <v>128</v>
      </c>
      <c r="E179" t="n">
        <v>180</v>
      </c>
    </row>
    <row r="180">
      <c r="A180" t="inlineStr">
        <is>
          <t>Michael Smith</t>
        </is>
      </c>
      <c r="B180" t="n">
        <v>18</v>
      </c>
      <c r="C180" t="n">
        <v>54</v>
      </c>
      <c r="D180" t="n">
        <v>138</v>
      </c>
      <c r="E180" t="n">
        <v>175</v>
      </c>
    </row>
    <row r="181">
      <c r="A181" t="inlineStr">
        <is>
          <t>James Smith</t>
        </is>
      </c>
      <c r="B181" t="n">
        <v>18</v>
      </c>
      <c r="C181" t="n">
        <v>61</v>
      </c>
      <c r="D181" t="n">
        <v>140</v>
      </c>
      <c r="E181" t="n">
        <v>166</v>
      </c>
    </row>
    <row r="182">
      <c r="A182" t="inlineStr">
        <is>
          <t>Christopher Smith</t>
        </is>
      </c>
      <c r="B182" t="n">
        <v>24</v>
      </c>
      <c r="C182" t="n">
        <v>52</v>
      </c>
      <c r="D182" t="n">
        <v>145</v>
      </c>
      <c r="E182" t="n">
        <v>163</v>
      </c>
    </row>
    <row r="183">
      <c r="A183" t="inlineStr">
        <is>
          <t>Elizabeth Smith</t>
        </is>
      </c>
      <c r="B183" t="n">
        <v>12</v>
      </c>
      <c r="C183" t="n">
        <v>71</v>
      </c>
      <c r="D183" t="n">
        <v>130</v>
      </c>
      <c r="E183" t="n">
        <v>168</v>
      </c>
    </row>
    <row r="184">
      <c r="A184" t="inlineStr">
        <is>
          <t>Charles Smith</t>
        </is>
      </c>
      <c r="B184" t="n">
        <v>22</v>
      </c>
      <c r="C184" t="n">
        <v>58</v>
      </c>
      <c r="D184" t="n">
        <v>143</v>
      </c>
      <c r="E184" t="n">
        <v>158</v>
      </c>
    </row>
    <row r="185">
      <c r="A185" t="inlineStr">
        <is>
          <t>Nancy Smith</t>
        </is>
      </c>
      <c r="B185" t="n">
        <v>15</v>
      </c>
      <c r="C185" t="n">
        <v>56</v>
      </c>
      <c r="D185" t="n">
        <v>124</v>
      </c>
      <c r="E185" t="n">
        <v>185</v>
      </c>
    </row>
    <row r="187">
      <c r="A187" t="inlineStr">
        <is>
          <t>月份</t>
        </is>
      </c>
      <c r="B187" t="inlineStr">
        <is>
          <t>事件</t>
        </is>
      </c>
      <c r="C187" t="inlineStr">
        <is>
          <t>变更</t>
        </is>
      </c>
      <c r="D187" t="inlineStr">
        <is>
          <t>请求</t>
        </is>
      </c>
      <c r="E187" t="inlineStr">
        <is>
          <t>问题</t>
        </is>
      </c>
    </row>
    <row r="188">
      <c r="A188" t="inlineStr">
        <is>
          <t>2024-04</t>
        </is>
      </c>
      <c r="B188" t="n">
        <v>195</v>
      </c>
      <c r="C188" t="n">
        <v>0</v>
      </c>
      <c r="D188" t="n">
        <v>0</v>
      </c>
      <c r="E188" t="n">
        <v>0</v>
      </c>
    </row>
    <row r="189">
      <c r="A189" t="inlineStr">
        <is>
          <t>2024-05</t>
        </is>
      </c>
      <c r="B189" t="n">
        <v>725</v>
      </c>
      <c r="C189" t="n">
        <v>0</v>
      </c>
      <c r="D189" t="n">
        <v>0</v>
      </c>
      <c r="E189" t="n">
        <v>0</v>
      </c>
    </row>
    <row r="190">
      <c r="A190" t="inlineStr">
        <is>
          <t>2024-06</t>
        </is>
      </c>
      <c r="B190" t="n">
        <v>924</v>
      </c>
      <c r="C190" t="n">
        <v>0</v>
      </c>
      <c r="D190" t="n">
        <v>0</v>
      </c>
      <c r="E190" t="n">
        <v>0</v>
      </c>
    </row>
    <row r="191">
      <c r="A191" t="inlineStr">
        <is>
          <t>2024-07</t>
        </is>
      </c>
      <c r="B191" t="n">
        <v>1007</v>
      </c>
      <c r="C191" t="n">
        <v>0</v>
      </c>
      <c r="D191" t="n">
        <v>0</v>
      </c>
      <c r="E191" t="n">
        <v>0</v>
      </c>
    </row>
    <row r="192">
      <c r="A192" t="inlineStr">
        <is>
          <t>2024-08</t>
        </is>
      </c>
      <c r="B192" t="n">
        <v>712</v>
      </c>
      <c r="C192" t="n">
        <v>0</v>
      </c>
      <c r="D192" t="n">
        <v>0</v>
      </c>
      <c r="E192" t="n">
        <v>0</v>
      </c>
    </row>
    <row r="193">
      <c r="A193" t="inlineStr">
        <is>
          <t>2024-09</t>
        </is>
      </c>
      <c r="B193" t="n">
        <v>621</v>
      </c>
      <c r="C193" t="n">
        <v>0</v>
      </c>
      <c r="D193" t="n">
        <v>0</v>
      </c>
      <c r="E193" t="n">
        <v>0</v>
      </c>
    </row>
    <row r="194">
      <c r="A194" t="inlineStr">
        <is>
          <t>2024-10</t>
        </is>
      </c>
      <c r="B194" t="n">
        <v>542</v>
      </c>
      <c r="C194" t="n">
        <v>0</v>
      </c>
      <c r="D194" t="n">
        <v>0</v>
      </c>
      <c r="E194" t="n">
        <v>0</v>
      </c>
    </row>
    <row r="195">
      <c r="A195" t="inlineStr">
        <is>
          <t>2024-11</t>
        </is>
      </c>
      <c r="B195" t="n">
        <v>441</v>
      </c>
      <c r="C195" t="n">
        <v>7</v>
      </c>
      <c r="D195" t="n">
        <v>9</v>
      </c>
      <c r="E195" t="n">
        <v>11</v>
      </c>
    </row>
    <row r="196">
      <c r="A196" t="inlineStr">
        <is>
          <t>2024-12</t>
        </is>
      </c>
      <c r="B196" t="n">
        <v>432</v>
      </c>
      <c r="C196" t="n">
        <v>32</v>
      </c>
      <c r="D196" t="n">
        <v>30</v>
      </c>
      <c r="E196" t="n">
        <v>28</v>
      </c>
    </row>
    <row r="197">
      <c r="A197" t="inlineStr">
        <is>
          <t>2025-01</t>
        </is>
      </c>
      <c r="B197" t="n">
        <v>511</v>
      </c>
      <c r="C197" t="n">
        <v>11</v>
      </c>
      <c r="D197" t="n">
        <v>11</v>
      </c>
      <c r="E197" t="n">
        <v>11</v>
      </c>
    </row>
    <row r="198">
      <c r="A198" t="inlineStr">
        <is>
          <t>2025-02</t>
        </is>
      </c>
      <c r="B198" t="n">
        <v>410</v>
      </c>
      <c r="C198" t="n">
        <v>0</v>
      </c>
      <c r="D198" t="n">
        <v>0</v>
      </c>
      <c r="E198" t="n">
        <v>0</v>
      </c>
    </row>
    <row r="199">
      <c r="A199" t="inlineStr">
        <is>
          <t>2025-03</t>
        </is>
      </c>
      <c r="B199" t="n">
        <v>599</v>
      </c>
      <c r="C199" t="n">
        <v>0</v>
      </c>
      <c r="D199" t="n">
        <v>0</v>
      </c>
      <c r="E199" t="n">
        <v>0</v>
      </c>
    </row>
    <row r="200">
      <c r="A200" t="inlineStr">
        <is>
          <t>2025-04</t>
        </is>
      </c>
      <c r="B200" t="n">
        <v>491</v>
      </c>
      <c r="C200" t="n">
        <v>0</v>
      </c>
      <c r="D200" t="n">
        <v>0</v>
      </c>
      <c r="E200" t="n">
        <v>0</v>
      </c>
    </row>
    <row r="201">
      <c r="A201" t="inlineStr">
        <is>
          <t>2025-05</t>
        </is>
      </c>
      <c r="B201" t="n">
        <v>652</v>
      </c>
      <c r="C201" t="n">
        <v>0</v>
      </c>
      <c r="D201" t="n">
        <v>0</v>
      </c>
      <c r="E201" t="n">
        <v>0</v>
      </c>
    </row>
    <row r="202">
      <c r="A202" t="inlineStr">
        <is>
          <t>2025-06</t>
        </is>
      </c>
      <c r="B202" t="n">
        <v>641</v>
      </c>
      <c r="C202" t="n">
        <v>0</v>
      </c>
      <c r="D202" t="n">
        <v>0</v>
      </c>
      <c r="E202" t="n">
        <v>0</v>
      </c>
    </row>
    <row r="203">
      <c r="A203" t="inlineStr">
        <is>
          <t>2025-07</t>
        </is>
      </c>
      <c r="B203" t="n">
        <v>74</v>
      </c>
      <c r="C203" t="n">
        <v>0</v>
      </c>
      <c r="D203" t="n">
        <v>0</v>
      </c>
      <c r="E203" t="n">
        <v>0</v>
      </c>
    </row>
    <row r="205">
      <c r="A205" t="inlineStr">
        <is>
          <t>星期</t>
        </is>
      </c>
      <c r="B205" t="inlineStr">
        <is>
          <t>数量</t>
        </is>
      </c>
    </row>
    <row r="206">
      <c r="A206" t="inlineStr">
        <is>
          <t>Monday</t>
        </is>
      </c>
      <c r="B206" t="n">
        <v>1506</v>
      </c>
    </row>
    <row r="207">
      <c r="A207" t="inlineStr">
        <is>
          <t>Tuesday</t>
        </is>
      </c>
      <c r="B207" t="n">
        <v>1334</v>
      </c>
    </row>
    <row r="208">
      <c r="A208" t="inlineStr">
        <is>
          <t>Wednesday</t>
        </is>
      </c>
      <c r="B208" t="n">
        <v>1436</v>
      </c>
    </row>
    <row r="209">
      <c r="A209" t="inlineStr">
        <is>
          <t>Thursday</t>
        </is>
      </c>
      <c r="B209" t="n">
        <v>1321</v>
      </c>
    </row>
    <row r="210">
      <c r="A210" t="inlineStr">
        <is>
          <t>Friday</t>
        </is>
      </c>
      <c r="B210" t="n">
        <v>1270</v>
      </c>
    </row>
    <row r="211">
      <c r="A211" t="inlineStr">
        <is>
          <t>Saturday</t>
        </is>
      </c>
      <c r="B211" t="n">
        <v>1040</v>
      </c>
    </row>
    <row r="212">
      <c r="A212" t="inlineStr">
        <is>
          <t>Sunday</t>
        </is>
      </c>
      <c r="B212" t="n">
        <v>1070</v>
      </c>
    </row>
    <row r="214">
      <c r="A214" t="inlineStr">
        <is>
          <t>优先级</t>
        </is>
      </c>
      <c r="B214" t="inlineStr">
        <is>
          <t>数量</t>
        </is>
      </c>
    </row>
    <row r="215">
      <c r="A215" t="inlineStr">
        <is>
          <t>URGENT</t>
        </is>
      </c>
      <c r="B215" t="n">
        <v>2</v>
      </c>
    </row>
    <row r="216">
      <c r="A216" t="inlineStr">
        <is>
          <t>HIGH</t>
        </is>
      </c>
      <c r="B216" t="n">
        <v>1</v>
      </c>
    </row>
    <row r="217">
      <c r="A217" t="inlineStr">
        <is>
          <t>MEDIUM</t>
        </is>
      </c>
      <c r="B217" t="n">
        <v>2</v>
      </c>
    </row>
    <row r="219">
      <c r="A219" t="inlineStr">
        <is>
          <t>流程</t>
        </is>
      </c>
      <c r="B219" t="inlineStr">
        <is>
          <t>数量</t>
        </is>
      </c>
    </row>
    <row r="220">
      <c r="A220" t="inlineStr">
        <is>
          <t>incident</t>
        </is>
      </c>
      <c r="B220" t="n">
        <v>2</v>
      </c>
    </row>
    <row r="221">
      <c r="A221" t="inlineStr">
        <is>
          <t>change</t>
        </is>
      </c>
      <c r="B221" t="n">
        <v>2</v>
      </c>
    </row>
    <row r="222">
      <c r="A222" t="inlineStr">
        <is>
          <t>request</t>
        </is>
      </c>
      <c r="B222" t="n">
        <v>1</v>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3b82f6"/>
    <outlinePr summaryBelow="1" summaryRight="1"/>
    <pageSetUpPr fitToPage="1"/>
  </sheetPr>
  <dimension ref="A1:K127"/>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INC_事件分析</t>
        </is>
      </c>
    </row>
    <row r="2" ht="22" customHeight="1">
      <c r="A2" s="2" t="inlineStr">
        <is>
          <t>2024-04-19 — 2025-07-06</t>
        </is>
      </c>
    </row>
    <row r="3" ht="10" customHeight="1"/>
    <row r="4" ht="26" customHeight="1">
      <c r="A4" s="3" t="inlineStr">
        <is>
          <t>数据表格</t>
        </is>
      </c>
    </row>
    <row r="5" ht="26" customHeight="1">
      <c r="A5" s="3" t="inlineStr">
        <is>
          <t>优先级分布</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2" t="n">
        <v>4042</v>
      </c>
      <c r="C7" s="5" t="inlineStr">
        <is>
          <t>45.0%</t>
        </is>
      </c>
      <c r="D7" s="5" t="inlineStr">
        <is>
          <t>45.0%</t>
        </is>
      </c>
      <c r="E7" s="5" t="inlineStr">
        <is>
          <t>29.1小时</t>
        </is>
      </c>
      <c r="F7" s="5" t="inlineStr">
        <is>
          <t>25.1小时</t>
        </is>
      </c>
      <c r="G7" s="5" t="inlineStr">
        <is>
          <t>0.0分钟</t>
        </is>
      </c>
      <c r="H7" s="5" t="inlineStr">
        <is>
          <t>377.7天</t>
        </is>
      </c>
      <c r="I7" s="5" t="inlineStr">
        <is>
          <t>100.0%</t>
        </is>
      </c>
      <c r="J7" s="5" t="inlineStr">
        <is>
          <t>99.7%</t>
        </is>
      </c>
      <c r="K7" s="12" t="n">
        <v>13</v>
      </c>
    </row>
    <row r="8" ht="18" customHeight="1">
      <c r="A8" s="6" t="inlineStr">
        <is>
          <t>P1</t>
        </is>
      </c>
      <c r="B8" s="13" t="n">
        <v>448</v>
      </c>
      <c r="C8" s="6" t="inlineStr">
        <is>
          <t>5.0%</t>
        </is>
      </c>
      <c r="D8" s="6" t="inlineStr">
        <is>
          <t>50.0%</t>
        </is>
      </c>
      <c r="E8" s="6" t="inlineStr">
        <is>
          <t>47.2小时</t>
        </is>
      </c>
      <c r="F8" s="6" t="inlineStr">
        <is>
          <t>25.6小时</t>
        </is>
      </c>
      <c r="G8" s="6" t="inlineStr">
        <is>
          <t>0.0分钟</t>
        </is>
      </c>
      <c r="H8" s="6" t="inlineStr">
        <is>
          <t>394.1天</t>
        </is>
      </c>
      <c r="I8" s="6" t="inlineStr">
        <is>
          <t>92.3%</t>
        </is>
      </c>
      <c r="J8" s="6" t="inlineStr">
        <is>
          <t>6.9%</t>
        </is>
      </c>
      <c r="K8" s="13" t="n">
        <v>417</v>
      </c>
    </row>
    <row r="9" ht="18" customHeight="1">
      <c r="A9" s="5" t="inlineStr">
        <is>
          <t>P3</t>
        </is>
      </c>
      <c r="B9" s="12" t="n">
        <v>3141</v>
      </c>
      <c r="C9" s="5" t="inlineStr">
        <is>
          <t>35.0%</t>
        </is>
      </c>
      <c r="D9" s="5" t="inlineStr">
        <is>
          <t>85.0%</t>
        </is>
      </c>
      <c r="E9" s="5" t="inlineStr">
        <is>
          <t>25.1小时</t>
        </is>
      </c>
      <c r="F9" s="5" t="inlineStr">
        <is>
          <t>24.9小时</t>
        </is>
      </c>
      <c r="G9" s="5" t="inlineStr">
        <is>
          <t>0.0分钟</t>
        </is>
      </c>
      <c r="H9" s="5" t="inlineStr">
        <is>
          <t>44.8天</t>
        </is>
      </c>
      <c r="I9" s="5" t="inlineStr">
        <is>
          <t>99.5%</t>
        </is>
      </c>
      <c r="J9" s="5" t="inlineStr">
        <is>
          <t>47.6%</t>
        </is>
      </c>
      <c r="K9" s="12" t="n">
        <v>1646</v>
      </c>
    </row>
    <row r="10" ht="18" customHeight="1">
      <c r="A10" s="6" t="inlineStr">
        <is>
          <t>P2</t>
        </is>
      </c>
      <c r="B10" s="13" t="n">
        <v>1346</v>
      </c>
      <c r="C10" s="6" t="inlineStr">
        <is>
          <t>15.0%</t>
        </is>
      </c>
      <c r="D10" s="6" t="inlineStr">
        <is>
          <t>100.0%</t>
        </is>
      </c>
      <c r="E10" s="6" t="inlineStr">
        <is>
          <t>34.0小时</t>
        </is>
      </c>
      <c r="F10" s="6" t="inlineStr">
        <is>
          <t>25.5小时</t>
        </is>
      </c>
      <c r="G10" s="6" t="inlineStr">
        <is>
          <t>0.0分钟</t>
        </is>
      </c>
      <c r="H10" s="6" t="inlineStr">
        <is>
          <t>398.8天</t>
        </is>
      </c>
      <c r="I10" s="6" t="inlineStr">
        <is>
          <t>98.1%</t>
        </is>
      </c>
      <c r="J10" s="6" t="inlineStr">
        <is>
          <t>15.5%</t>
        </is>
      </c>
      <c r="K10" s="13" t="n">
        <v>1138</v>
      </c>
    </row>
    <row r="11" ht="10" customHeight="1"/>
    <row r="12" ht="26" customHeight="1">
      <c r="A12" s="3" t="inlineStr">
        <is>
          <t>分类分布</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2" t="n">
        <v>3936</v>
      </c>
      <c r="C14" s="5" t="inlineStr">
        <is>
          <t>43.8%</t>
        </is>
      </c>
      <c r="D14" s="5" t="inlineStr">
        <is>
          <t>43.8%</t>
        </is>
      </c>
      <c r="E14" s="5" t="inlineStr">
        <is>
          <t>25.4小时</t>
        </is>
      </c>
      <c r="F14" s="5" t="inlineStr">
        <is>
          <t>26.5小时</t>
        </is>
      </c>
      <c r="G14" s="5" t="inlineStr">
        <is>
          <t>17.0小时</t>
        </is>
      </c>
    </row>
    <row r="15" ht="18" customHeight="1">
      <c r="A15" s="6" t="inlineStr">
        <is>
          <t>International Money Transfer</t>
        </is>
      </c>
      <c r="B15" s="13" t="n">
        <v>809</v>
      </c>
      <c r="C15" s="6" t="inlineStr">
        <is>
          <t>9.0%</t>
        </is>
      </c>
      <c r="D15" s="6" t="inlineStr">
        <is>
          <t>52.9%</t>
        </is>
      </c>
      <c r="E15" s="6" t="inlineStr">
        <is>
          <t>24.1小时</t>
        </is>
      </c>
      <c r="F15" s="6" t="inlineStr">
        <is>
          <t>22.3小时</t>
        </is>
      </c>
      <c r="G15" s="6" t="inlineStr">
        <is>
          <t>41.9小时</t>
        </is>
      </c>
    </row>
    <row r="16" ht="18" customHeight="1">
      <c r="A16" s="5" t="inlineStr">
        <is>
          <t>Card</t>
        </is>
      </c>
      <c r="B16" s="12" t="n">
        <v>790</v>
      </c>
      <c r="C16" s="5" t="inlineStr">
        <is>
          <t>8.8%</t>
        </is>
      </c>
      <c r="D16" s="5" t="inlineStr">
        <is>
          <t>61.7%</t>
        </is>
      </c>
      <c r="E16" s="5" t="inlineStr">
        <is>
          <t>27.4小时</t>
        </is>
      </c>
      <c r="F16" s="5" t="inlineStr">
        <is>
          <t>25.2小时</t>
        </is>
      </c>
      <c r="G16" s="5" t="inlineStr">
        <is>
          <t>41.7小时</t>
        </is>
      </c>
    </row>
    <row r="17" ht="18" customHeight="1">
      <c r="A17" s="6" t="inlineStr">
        <is>
          <t>Onboarding</t>
        </is>
      </c>
      <c r="B17" s="13" t="n">
        <v>706</v>
      </c>
      <c r="C17" s="6" t="inlineStr">
        <is>
          <t>7.9%</t>
        </is>
      </c>
      <c r="D17" s="6" t="inlineStr">
        <is>
          <t>69.5%</t>
        </is>
      </c>
      <c r="E17" s="6" t="inlineStr">
        <is>
          <t>21.4小时</t>
        </is>
      </c>
      <c r="F17" s="6" t="inlineStr">
        <is>
          <t>20.1小时</t>
        </is>
      </c>
      <c r="G17" s="6" t="inlineStr">
        <is>
          <t>37.8小时</t>
        </is>
      </c>
    </row>
    <row r="18" ht="18" customHeight="1">
      <c r="A18" s="5" t="inlineStr">
        <is>
          <t>Other</t>
        </is>
      </c>
      <c r="B18" s="12" t="n">
        <v>656</v>
      </c>
      <c r="C18" s="5" t="inlineStr">
        <is>
          <t>7.3%</t>
        </is>
      </c>
      <c r="D18" s="5" t="inlineStr">
        <is>
          <t>76.8%</t>
        </is>
      </c>
      <c r="E18" s="5" t="inlineStr">
        <is>
          <t>44.8小时</t>
        </is>
      </c>
      <c r="F18" s="5" t="inlineStr">
        <is>
          <t>33.8小时</t>
        </is>
      </c>
      <c r="G18" s="5" t="inlineStr">
        <is>
          <t>14.7天</t>
        </is>
      </c>
    </row>
    <row r="19" ht="18" customHeight="1">
      <c r="A19" s="6" t="inlineStr">
        <is>
          <t>Cash In</t>
        </is>
      </c>
      <c r="B19" s="13" t="n">
        <v>411</v>
      </c>
      <c r="C19" s="6" t="inlineStr">
        <is>
          <t>4.6%</t>
        </is>
      </c>
      <c r="D19" s="6" t="inlineStr">
        <is>
          <t>81.4%</t>
        </is>
      </c>
      <c r="E19" s="6" t="inlineStr">
        <is>
          <t>22.5小时</t>
        </is>
      </c>
      <c r="F19" s="6" t="inlineStr">
        <is>
          <t>18.3小时</t>
        </is>
      </c>
      <c r="G19" s="6" t="inlineStr">
        <is>
          <t>3.3天</t>
        </is>
      </c>
    </row>
    <row r="20" ht="18" customHeight="1">
      <c r="A20" s="5" t="inlineStr">
        <is>
          <t>Outward Fund transfer</t>
        </is>
      </c>
      <c r="B20" s="12" t="n">
        <v>320</v>
      </c>
      <c r="C20" s="5" t="inlineStr">
        <is>
          <t>3.6%</t>
        </is>
      </c>
      <c r="D20" s="5" t="inlineStr">
        <is>
          <t>85.0%</t>
        </is>
      </c>
      <c r="E20" s="5" t="inlineStr">
        <is>
          <t>22.2小时</t>
        </is>
      </c>
      <c r="F20" s="5" t="inlineStr">
        <is>
          <t>22.2小时</t>
        </is>
      </c>
      <c r="G20" s="5" t="inlineStr">
        <is>
          <t>14.3小时</t>
        </is>
      </c>
    </row>
    <row r="21" ht="18" customHeight="1">
      <c r="A21" s="6" t="inlineStr">
        <is>
          <t>Cardless Cash Out</t>
        </is>
      </c>
      <c r="B21" s="13" t="n">
        <v>311</v>
      </c>
      <c r="C21" s="6" t="inlineStr">
        <is>
          <t>3.5%</t>
        </is>
      </c>
      <c r="D21" s="6" t="inlineStr">
        <is>
          <t>88.4%</t>
        </is>
      </c>
      <c r="E21" s="6" t="inlineStr">
        <is>
          <t>19.2小时</t>
        </is>
      </c>
      <c r="F21" s="6" t="inlineStr">
        <is>
          <t>20.9小时</t>
        </is>
      </c>
      <c r="G21" s="6" t="inlineStr">
        <is>
          <t>12.4小时</t>
        </is>
      </c>
    </row>
    <row r="22" ht="18" customHeight="1">
      <c r="A22" s="5" t="inlineStr">
        <is>
          <t>Account Management</t>
        </is>
      </c>
      <c r="B22" s="12" t="n">
        <v>266</v>
      </c>
      <c r="C22" s="5" t="inlineStr">
        <is>
          <t>3.0%</t>
        </is>
      </c>
      <c r="D22" s="5" t="inlineStr">
        <is>
          <t>91.4%</t>
        </is>
      </c>
      <c r="E22" s="5" t="inlineStr">
        <is>
          <t>28.8小时</t>
        </is>
      </c>
      <c r="F22" s="5" t="inlineStr">
        <is>
          <t>25.8小时</t>
        </is>
      </c>
      <c r="G22" s="5" t="inlineStr">
        <is>
          <t>30.3小时</t>
        </is>
      </c>
    </row>
    <row r="23" ht="18" customHeight="1">
      <c r="A23" s="6" t="inlineStr">
        <is>
          <t>Compliance</t>
        </is>
      </c>
      <c r="B23" s="13" t="n">
        <v>220</v>
      </c>
      <c r="C23" s="6" t="inlineStr">
        <is>
          <t>2.5%</t>
        </is>
      </c>
      <c r="D23" s="6" t="inlineStr">
        <is>
          <t>93.9%</t>
        </is>
      </c>
      <c r="E23" s="6" t="inlineStr">
        <is>
          <t>2.8天</t>
        </is>
      </c>
      <c r="F23" s="6" t="inlineStr">
        <is>
          <t>23.9小时</t>
        </is>
      </c>
      <c r="G23" s="6" t="inlineStr">
        <is>
          <t>23.7天</t>
        </is>
      </c>
    </row>
    <row r="24" ht="18" customHeight="1">
      <c r="A24" s="5" t="inlineStr">
        <is>
          <t>Infra</t>
        </is>
      </c>
      <c r="B24" s="12" t="n">
        <v>215</v>
      </c>
      <c r="C24" s="5" t="inlineStr">
        <is>
          <t>2.4%</t>
        </is>
      </c>
      <c r="D24" s="5" t="inlineStr">
        <is>
          <t>96.2%</t>
        </is>
      </c>
      <c r="E24" s="5" t="inlineStr">
        <is>
          <t>2.9天</t>
        </is>
      </c>
      <c r="F24" s="5" t="inlineStr">
        <is>
          <t>26.2小时</t>
        </is>
      </c>
      <c r="G24" s="5" t="inlineStr">
        <is>
          <t>27.1天</t>
        </is>
      </c>
    </row>
    <row r="25" ht="18" customHeight="1">
      <c r="A25" s="6" t="inlineStr">
        <is>
          <t>P2P Transfer</t>
        </is>
      </c>
      <c r="B25" s="13" t="n">
        <v>83</v>
      </c>
      <c r="C25" s="6" t="inlineStr">
        <is>
          <t>0.9%</t>
        </is>
      </c>
      <c r="D25" s="6" t="inlineStr">
        <is>
          <t>97.2%</t>
        </is>
      </c>
      <c r="E25" s="6" t="inlineStr">
        <is>
          <t>19.6小时</t>
        </is>
      </c>
      <c r="F25" s="6" t="inlineStr">
        <is>
          <t>22.3小时</t>
        </is>
      </c>
      <c r="G25" s="6" t="inlineStr">
        <is>
          <t>14.3小时</t>
        </is>
      </c>
    </row>
    <row r="26" ht="18" customHeight="1">
      <c r="A26" s="5" t="inlineStr">
        <is>
          <t>Bill Payment</t>
        </is>
      </c>
      <c r="B26" s="12" t="n">
        <v>75</v>
      </c>
      <c r="C26" s="5" t="inlineStr">
        <is>
          <t>0.8%</t>
        </is>
      </c>
      <c r="D26" s="5" t="inlineStr">
        <is>
          <t>98.0%</t>
        </is>
      </c>
      <c r="E26" s="5" t="inlineStr">
        <is>
          <t>22.9小时</t>
        </is>
      </c>
      <c r="F26" s="5" t="inlineStr">
        <is>
          <t>23.3小时</t>
        </is>
      </c>
      <c r="G26" s="5" t="inlineStr">
        <is>
          <t>14.4小时</t>
        </is>
      </c>
    </row>
    <row r="27" ht="18" customHeight="1">
      <c r="A27" s="6" t="inlineStr">
        <is>
          <t>Cash Out</t>
        </is>
      </c>
      <c r="B27" s="13" t="n">
        <v>62</v>
      </c>
      <c r="C27" s="6" t="inlineStr">
        <is>
          <t>0.7%</t>
        </is>
      </c>
      <c r="D27" s="6" t="inlineStr">
        <is>
          <t>98.7%</t>
        </is>
      </c>
      <c r="E27" s="6" t="inlineStr">
        <is>
          <t>35.0小时</t>
        </is>
      </c>
      <c r="F27" s="6" t="inlineStr">
        <is>
          <t>25.1小时</t>
        </is>
      </c>
      <c r="G27" s="6" t="inlineStr">
        <is>
          <t>2.6天</t>
        </is>
      </c>
    </row>
    <row r="28" ht="18" customHeight="1">
      <c r="A28" s="5" t="inlineStr">
        <is>
          <t>Internal Requests</t>
        </is>
      </c>
      <c r="B28" s="12" t="n">
        <v>51</v>
      </c>
      <c r="C28" s="5" t="inlineStr">
        <is>
          <t>0.6%</t>
        </is>
      </c>
      <c r="D28" s="5" t="inlineStr">
        <is>
          <t>99.3%</t>
        </is>
      </c>
      <c r="E28" s="5" t="inlineStr">
        <is>
          <t>20.5小时</t>
        </is>
      </c>
      <c r="F28" s="5" t="inlineStr">
        <is>
          <t>23.8小时</t>
        </is>
      </c>
      <c r="G28" s="5" t="inlineStr">
        <is>
          <t>15.2小时</t>
        </is>
      </c>
    </row>
    <row r="29" ht="18" customHeight="1">
      <c r="A29" s="6" t="inlineStr">
        <is>
          <t>Customer Complaint</t>
        </is>
      </c>
      <c r="B29" s="13" t="n">
        <v>31</v>
      </c>
      <c r="C29" s="6" t="inlineStr">
        <is>
          <t>0.3%</t>
        </is>
      </c>
      <c r="D29" s="6" t="inlineStr">
        <is>
          <t>99.6%</t>
        </is>
      </c>
      <c r="E29" s="6" t="inlineStr">
        <is>
          <t>14.2天</t>
        </is>
      </c>
      <c r="F29" s="6" t="inlineStr">
        <is>
          <t>44.7小时</t>
        </is>
      </c>
      <c r="G29" s="6" t="inlineStr">
        <is>
          <t>70.5天</t>
        </is>
      </c>
    </row>
    <row r="30" ht="18" customHeight="1">
      <c r="A30" s="5" t="inlineStr">
        <is>
          <t>Promotions</t>
        </is>
      </c>
      <c r="B30" s="12" t="n">
        <v>23</v>
      </c>
      <c r="C30" s="5" t="inlineStr">
        <is>
          <t>0.3%</t>
        </is>
      </c>
      <c r="D30" s="5" t="inlineStr">
        <is>
          <t>99.9%</t>
        </is>
      </c>
      <c r="E30" s="5" t="inlineStr">
        <is>
          <t>16.9小时</t>
        </is>
      </c>
      <c r="F30" s="5" t="inlineStr">
        <is>
          <t>18.8小时</t>
        </is>
      </c>
      <c r="G30" s="5" t="inlineStr">
        <is>
          <t>14.3小时</t>
        </is>
      </c>
    </row>
    <row r="31" ht="18" customHeight="1">
      <c r="A31" s="6" t="inlineStr">
        <is>
          <t>Fraud</t>
        </is>
      </c>
      <c r="B31" s="13" t="n">
        <v>7</v>
      </c>
      <c r="C31" s="6" t="inlineStr">
        <is>
          <t>0.1%</t>
        </is>
      </c>
      <c r="D31" s="6" t="inlineStr">
        <is>
          <t>99.9%</t>
        </is>
      </c>
      <c r="E31" s="6" t="inlineStr">
        <is>
          <t>20.0小时</t>
        </is>
      </c>
      <c r="F31" s="6" t="inlineStr">
        <is>
          <t>23.7小时</t>
        </is>
      </c>
      <c r="G31" s="6" t="inlineStr">
        <is>
          <t>19.1小时</t>
        </is>
      </c>
    </row>
    <row r="32" ht="18" customHeight="1">
      <c r="A32" s="5" t="inlineStr">
        <is>
          <t>Airtime Top-Up</t>
        </is>
      </c>
      <c r="B32" s="12" t="n">
        <v>5</v>
      </c>
      <c r="C32" s="5" t="inlineStr">
        <is>
          <t>0.1%</t>
        </is>
      </c>
      <c r="D32" s="5" t="inlineStr">
        <is>
          <t>100.0%</t>
        </is>
      </c>
      <c r="E32" s="5" t="inlineStr">
        <is>
          <t>26.4小时</t>
        </is>
      </c>
      <c r="F32" s="5" t="inlineStr">
        <is>
          <t>30.2小时</t>
        </is>
      </c>
      <c r="G32" s="5" t="inlineStr">
        <is>
          <t>15.6小时</t>
        </is>
      </c>
    </row>
    <row r="33" ht="10" customHeight="1"/>
    <row r="34" ht="26" customHeight="1">
      <c r="A34" s="3" t="inlineStr">
        <is>
          <t>可视化分析</t>
        </is>
      </c>
    </row>
    <row r="35" ht="16" customHeight="1">
      <c r="A35" s="8" t="inlineStr">
        <is>
          <t>月度事件量与完成率趋势</t>
        </is>
      </c>
    </row>
    <row r="62" ht="16" customHeight="1">
      <c r="A62" s="8" t="inlineStr">
        <is>
          <t>按优先级分布的事件</t>
        </is>
      </c>
    </row>
    <row r="89" ht="16" customHeight="1">
      <c r="A89" s="8" t="inlineStr">
        <is>
          <t>事件量前10的分类</t>
        </is>
      </c>
    </row>
    <row r="116" ht="10" customHeight="1"/>
    <row r="117" ht="26" customHeight="1">
      <c r="A117" s="9" t="inlineStr">
        <is>
          <t>🤖 AI 洞察分析</t>
        </is>
      </c>
    </row>
    <row r="118" ht="30" customHeight="1">
      <c r="A118" s="10" t="inlineStr">
        <is>
          <t>📌 发现：首先，服务协议（SLA）合规率仅为64.2%，远低于行业普遍接受的95%以上标准，表明超过三分之一的事件未能在约定时间内解决，服务质量存在显著缺口。其次，事件平均解决时间（MTTR）高达29.4小时，结合“合规”类别事件的MTTR更是达到67.8小时，显示出对于关键业务或监管类事件的响应与修复流程存在严重瓶颈。最后，在443天的周期内发生了5起重大事件，且高达20.0%（1794/8977）的事件被归类为P1/P2高优先级，说明事件严重程度总体偏高，运营稳定性面临持续压力。</t>
        </is>
      </c>
    </row>
    <row r="119" ht="6" customHeight="1"/>
    <row r="120" ht="30" customHeight="1">
      <c r="A120" s="10" t="inlineStr">
        <is>
          <t>🔍 原因：从技术维度看，“合规”类别MTTR异常高（67.8h），可能源于该类事件涉及复杂的系统审计、数据追溯或外部协调，现有工具链或自动化水平不足。从流程维度分析，月度趋势图可能显示事件完成率波动大，且9次变更直接引发了事件（占变更总数的18.0%），表明变更管理流程存在缺陷，预防性测试或回滚机制不健全。从管理维度看，整体健康度评分仅为33/100，与低SLA合规率、高MTTR相互印证，反映出资源分配、优先级设定或跨团队协作机制未能有效支撑服务目标。高优先级事件占比大也可能源于事件分类标准模糊或初始响应环节未能有效降级。</t>
        </is>
      </c>
    </row>
    <row r="121" ht="6" customHeight="1"/>
    <row r="122" ht="30" customHeight="1">
      <c r="A122" s="10" t="inlineStr">
        <is>
          <t>💡 建议：立即启动针对“合规”及高频事件类别的根本原因分析与流程优化专项，并强化变更前的风险评估与事后复盘机制。</t>
        </is>
      </c>
    </row>
    <row r="123" ht="6" customHeight="1"/>
    <row r="124" ht="30" customHeight="1">
      <c r="A124" s="10" t="inlineStr">
        <is>
          <t>📈 预期：预计在下一季度将关键类别事件MTTR降低20%，并将变更引发事件的比例控制在10%以内。</t>
        </is>
      </c>
    </row>
    <row r="125" ht="10" customHeight="1"/>
    <row r="126" ht="10" customHeight="1"/>
    <row r="127">
      <c r="A127" s="11" t="inlineStr">
        <is>
          <t>由客户跨流程总览报告生成 • 2026-02-04 13:18</t>
        </is>
      </c>
    </row>
  </sheetData>
  <mergeCells count="15">
    <mergeCell ref="A1:J1"/>
    <mergeCell ref="A5:J5"/>
    <mergeCell ref="A117:J117"/>
    <mergeCell ref="A118:J118"/>
    <mergeCell ref="A89:J89"/>
    <mergeCell ref="A127:J127"/>
    <mergeCell ref="A62:J62"/>
    <mergeCell ref="A120:J120"/>
    <mergeCell ref="A122:J122"/>
    <mergeCell ref="A124:J124"/>
    <mergeCell ref="A34:J34"/>
    <mergeCell ref="A12:J12"/>
    <mergeCell ref="A4:J4"/>
    <mergeCell ref="A35:J35"/>
    <mergeCell ref="A2:J2"/>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ef4444"/>
    <outlinePr summaryBelow="1" summaryRight="1"/>
    <pageSetUpPr fitToPage="1"/>
  </sheetPr>
  <dimension ref="A1:Q150"/>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3" customWidth="1" min="8" max="8"/>
  </cols>
  <sheetData>
    <row r="1" ht="36" customHeight="1">
      <c r="A1" s="1" t="inlineStr">
        <is>
          <t>INC_SLA分析</t>
        </is>
      </c>
    </row>
    <row r="2" ht="22" customHeight="1">
      <c r="A2" s="2" t="inlineStr">
        <is>
          <t>2024-04-19 — 2025-07-06</t>
        </is>
      </c>
    </row>
    <row r="3" ht="10" customHeight="1"/>
    <row r="4" ht="26" customHeight="1">
      <c r="A4" s="3" t="inlineStr">
        <is>
          <t>数据表格</t>
        </is>
      </c>
    </row>
    <row r="5" ht="26" customHeight="1">
      <c r="A5" s="3" t="inlineStr">
        <is>
          <t>SLA 概览</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2" t="n">
        <v>448</v>
      </c>
      <c r="D7" s="12" t="n">
        <v>31</v>
      </c>
      <c r="E7" s="12" t="n">
        <v>2</v>
      </c>
    </row>
    <row r="8" ht="18" customHeight="1">
      <c r="A8" s="6" t="inlineStr">
        <is>
          <t>P2</t>
        </is>
      </c>
      <c r="B8" s="6" t="inlineStr">
        <is>
          <t>15.5%</t>
        </is>
      </c>
      <c r="C8" s="13" t="n">
        <v>1346</v>
      </c>
      <c r="D8" s="13" t="n">
        <v>208</v>
      </c>
      <c r="E8" s="13" t="n">
        <v>6</v>
      </c>
    </row>
    <row r="9" ht="18" customHeight="1">
      <c r="A9" s="5" t="inlineStr">
        <is>
          <t>P3</t>
        </is>
      </c>
      <c r="B9" s="5" t="inlineStr">
        <is>
          <t>47.6%</t>
        </is>
      </c>
      <c r="C9" s="12" t="n">
        <v>3141</v>
      </c>
      <c r="D9" s="12" t="n">
        <v>1495</v>
      </c>
      <c r="E9" s="12" t="n">
        <v>24</v>
      </c>
    </row>
    <row r="10" ht="18" customHeight="1">
      <c r="A10" s="6" t="inlineStr">
        <is>
          <t>P4</t>
        </is>
      </c>
      <c r="B10" s="6" t="inlineStr">
        <is>
          <t>99.7%</t>
        </is>
      </c>
      <c r="C10" s="13" t="n">
        <v>4042</v>
      </c>
      <c r="D10" s="13" t="n">
        <v>4029</v>
      </c>
      <c r="E10" s="13" t="n">
        <v>48</v>
      </c>
    </row>
    <row r="11" ht="10" customHeight="1"/>
    <row r="12" ht="26" customHeight="1">
      <c r="A12" s="3" t="inlineStr">
        <is>
          <t>SLA 违规 (前20)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38.5小时</t>
        </is>
      </c>
      <c r="F14" s="5" t="inlineStr">
        <is>
          <t>Thomas Smith</t>
        </is>
      </c>
      <c r="G14" s="5" t="inlineStr">
        <is>
          <t>Completed</t>
        </is>
      </c>
      <c r="H14" s="5" t="inlineStr">
        <is>
          <t>Resolution exceeded by 38.5小时</t>
        </is>
      </c>
    </row>
    <row r="15" ht="18" customHeight="1">
      <c r="A15" s="6" t="inlineStr">
        <is>
          <t>80000004</t>
        </is>
      </c>
      <c r="B15" s="6" t="inlineStr">
        <is>
          <t>P3</t>
        </is>
      </c>
      <c r="C15" s="6" t="inlineStr">
        <is>
          <t>Card</t>
        </is>
      </c>
      <c r="D15" s="6" t="inlineStr">
        <is>
          <t>Resolution</t>
        </is>
      </c>
      <c r="E15" s="6" t="inlineStr">
        <is>
          <t>23.2小时</t>
        </is>
      </c>
      <c r="F15" s="6" t="inlineStr">
        <is>
          <t>Barbara Smith</t>
        </is>
      </c>
      <c r="G15" s="6" t="inlineStr">
        <is>
          <t>Completed</t>
        </is>
      </c>
      <c r="H15" s="6" t="inlineStr">
        <is>
          <t>Resolution exceeded by 23.2小时</t>
        </is>
      </c>
    </row>
    <row r="16" ht="18" customHeight="1">
      <c r="A16" s="5" t="inlineStr">
        <is>
          <t>80000013</t>
        </is>
      </c>
      <c r="B16" s="5" t="inlineStr">
        <is>
          <t>P2</t>
        </is>
      </c>
      <c r="C16" s="5" t="inlineStr">
        <is>
          <t>Account Management</t>
        </is>
      </c>
      <c r="D16" s="5" t="inlineStr">
        <is>
          <t>Resolution</t>
        </is>
      </c>
      <c r="E16" s="5" t="inlineStr">
        <is>
          <t>20.3小时</t>
        </is>
      </c>
      <c r="F16" s="5" t="inlineStr">
        <is>
          <t>Karen Smith</t>
        </is>
      </c>
      <c r="G16" s="5" t="inlineStr">
        <is>
          <t>Completed</t>
        </is>
      </c>
      <c r="H16" s="5" t="inlineStr">
        <is>
          <t>Resolution exceeded by 20.3小时</t>
        </is>
      </c>
    </row>
    <row r="17" ht="18" customHeight="1">
      <c r="A17" s="6" t="inlineStr">
        <is>
          <t>80000016</t>
        </is>
      </c>
      <c r="B17" s="6" t="inlineStr">
        <is>
          <t>P3</t>
        </is>
      </c>
      <c r="C17" s="6" t="inlineStr">
        <is>
          <t>Compliance</t>
        </is>
      </c>
      <c r="D17" s="6" t="inlineStr">
        <is>
          <t>Resolution</t>
        </is>
      </c>
      <c r="E17" s="6" t="inlineStr">
        <is>
          <t>3.0小时</t>
        </is>
      </c>
      <c r="F17" s="6" t="inlineStr">
        <is>
          <t>Jessica Smith</t>
        </is>
      </c>
      <c r="G17" s="6" t="inlineStr">
        <is>
          <t>Completed</t>
        </is>
      </c>
      <c r="H17" s="6" t="inlineStr">
        <is>
          <t>Resolution exceeded by 3.0小时</t>
        </is>
      </c>
    </row>
    <row r="18" ht="18" customHeight="1">
      <c r="A18" s="5" t="inlineStr">
        <is>
          <t>80000018</t>
        </is>
      </c>
      <c r="B18" s="5" t="inlineStr">
        <is>
          <t>P3</t>
        </is>
      </c>
      <c r="C18" s="5" t="inlineStr">
        <is>
          <t>Cash In</t>
        </is>
      </c>
      <c r="D18" s="5" t="inlineStr">
        <is>
          <t>Resolution</t>
        </is>
      </c>
      <c r="E18" s="5" t="inlineStr">
        <is>
          <t>22.0小时</t>
        </is>
      </c>
      <c r="F18" s="5" t="inlineStr">
        <is>
          <t>Lisa Smith</t>
        </is>
      </c>
      <c r="G18" s="5" t="inlineStr">
        <is>
          <t>Completed</t>
        </is>
      </c>
      <c r="H18" s="5" t="inlineStr">
        <is>
          <t>Resolution exceeded by 22.0小时</t>
        </is>
      </c>
    </row>
    <row r="19" ht="18" customHeight="1">
      <c r="A19" s="6" t="inlineStr">
        <is>
          <t>80000020</t>
        </is>
      </c>
      <c r="B19" s="6" t="inlineStr">
        <is>
          <t>P3</t>
        </is>
      </c>
      <c r="C19" s="6" t="inlineStr">
        <is>
          <t>Digital View Monitoring</t>
        </is>
      </c>
      <c r="D19" s="6" t="inlineStr">
        <is>
          <t>Resolution</t>
        </is>
      </c>
      <c r="E19" s="6" t="inlineStr">
        <is>
          <t>6.0小时</t>
        </is>
      </c>
      <c r="F19" s="6" t="inlineStr">
        <is>
          <t>Linda Smith</t>
        </is>
      </c>
      <c r="G19" s="6" t="inlineStr">
        <is>
          <t>Completed</t>
        </is>
      </c>
      <c r="H19" s="6" t="inlineStr">
        <is>
          <t>Resolution exceeded by 6.0小时</t>
        </is>
      </c>
    </row>
    <row r="20" ht="18" customHeight="1">
      <c r="A20" s="5" t="inlineStr">
        <is>
          <t>80000023</t>
        </is>
      </c>
      <c r="B20" s="5" t="inlineStr">
        <is>
          <t>P3</t>
        </is>
      </c>
      <c r="C20" s="5" t="inlineStr">
        <is>
          <t>Digital View Monitoring</t>
        </is>
      </c>
      <c r="D20" s="5" t="inlineStr">
        <is>
          <t>Resolution</t>
        </is>
      </c>
      <c r="E20" s="5" t="inlineStr">
        <is>
          <t>13.2小时</t>
        </is>
      </c>
      <c r="F20" s="5" t="inlineStr">
        <is>
          <t>Christopher Smith</t>
        </is>
      </c>
      <c r="G20" s="5" t="inlineStr">
        <is>
          <t>Completed</t>
        </is>
      </c>
      <c r="H20" s="5" t="inlineStr">
        <is>
          <t>Resolution exceeded by 13.2小时</t>
        </is>
      </c>
    </row>
    <row r="21" ht="18" customHeight="1">
      <c r="A21" s="6" t="inlineStr">
        <is>
          <t>80000024</t>
        </is>
      </c>
      <c r="B21" s="6" t="inlineStr">
        <is>
          <t>P2</t>
        </is>
      </c>
      <c r="C21" s="6" t="inlineStr">
        <is>
          <t>Digital View Monitoring</t>
        </is>
      </c>
      <c r="D21" s="6" t="inlineStr">
        <is>
          <t>Resolution</t>
        </is>
      </c>
      <c r="E21" s="6" t="inlineStr">
        <is>
          <t>10.4小时</t>
        </is>
      </c>
      <c r="F21" s="6" t="inlineStr">
        <is>
          <t>William Smith</t>
        </is>
      </c>
      <c r="G21" s="6" t="inlineStr">
        <is>
          <t>Completed</t>
        </is>
      </c>
      <c r="H21" s="6" t="inlineStr">
        <is>
          <t>Resolution exceeded by 10.4小时</t>
        </is>
      </c>
    </row>
    <row r="22" ht="18" customHeight="1">
      <c r="A22" s="5" t="inlineStr">
        <is>
          <t>80000026</t>
        </is>
      </c>
      <c r="B22" s="5" t="inlineStr">
        <is>
          <t>P3</t>
        </is>
      </c>
      <c r="C22" s="5" t="inlineStr">
        <is>
          <t>International Money Transfer</t>
        </is>
      </c>
      <c r="D22" s="5" t="inlineStr">
        <is>
          <t>Resolution</t>
        </is>
      </c>
      <c r="E22" s="5" t="inlineStr">
        <is>
          <t>17.8小时</t>
        </is>
      </c>
      <c r="F22" s="5" t="inlineStr">
        <is>
          <t>Barbara Smith</t>
        </is>
      </c>
      <c r="G22" s="5" t="inlineStr">
        <is>
          <t>Completed</t>
        </is>
      </c>
      <c r="H22" s="5" t="inlineStr">
        <is>
          <t>Resolution exceeded by 17.8小时</t>
        </is>
      </c>
    </row>
    <row r="23" ht="18" customHeight="1">
      <c r="A23" s="6" t="inlineStr">
        <is>
          <t>80000027</t>
        </is>
      </c>
      <c r="B23" s="6" t="inlineStr">
        <is>
          <t>P3</t>
        </is>
      </c>
      <c r="C23" s="6" t="inlineStr">
        <is>
          <t>Other</t>
        </is>
      </c>
      <c r="D23" s="6" t="inlineStr">
        <is>
          <t>Resolution</t>
        </is>
      </c>
      <c r="E23" s="6" t="inlineStr">
        <is>
          <t>23.2小时</t>
        </is>
      </c>
      <c r="F23" s="6" t="inlineStr">
        <is>
          <t>Barbara Smith</t>
        </is>
      </c>
      <c r="G23" s="6" t="inlineStr">
        <is>
          <t>Completed</t>
        </is>
      </c>
      <c r="H23" s="6" t="inlineStr">
        <is>
          <t>Resolution exceeded by 23.2小时</t>
        </is>
      </c>
    </row>
    <row r="24" ht="18" customHeight="1">
      <c r="A24" s="5" t="inlineStr">
        <is>
          <t>80000028</t>
        </is>
      </c>
      <c r="B24" s="5" t="inlineStr">
        <is>
          <t>P2</t>
        </is>
      </c>
      <c r="C24" s="5" t="inlineStr">
        <is>
          <t>Onboarding</t>
        </is>
      </c>
      <c r="D24" s="5" t="inlineStr">
        <is>
          <t>Resolution</t>
        </is>
      </c>
      <c r="E24" s="5" t="inlineStr">
        <is>
          <t>23.9小时</t>
        </is>
      </c>
      <c r="F24" s="5" t="inlineStr">
        <is>
          <t>Daniel Smith</t>
        </is>
      </c>
      <c r="G24" s="5" t="inlineStr">
        <is>
          <t>Completed</t>
        </is>
      </c>
      <c r="H24" s="5" t="inlineStr">
        <is>
          <t>Resolution exceeded by 23.9小时</t>
        </is>
      </c>
    </row>
    <row r="25" ht="18" customHeight="1">
      <c r="A25" s="6" t="inlineStr">
        <is>
          <t>80000029</t>
        </is>
      </c>
      <c r="B25" s="6" t="inlineStr">
        <is>
          <t>P3</t>
        </is>
      </c>
      <c r="C25" s="6" t="inlineStr">
        <is>
          <t>Other</t>
        </is>
      </c>
      <c r="D25" s="6" t="inlineStr">
        <is>
          <t>Resolution</t>
        </is>
      </c>
      <c r="E25" s="6" t="inlineStr">
        <is>
          <t>21.9小时</t>
        </is>
      </c>
      <c r="F25" s="6" t="inlineStr">
        <is>
          <t>Thomas Smith</t>
        </is>
      </c>
      <c r="G25" s="6" t="inlineStr">
        <is>
          <t>Completed</t>
        </is>
      </c>
      <c r="H25" s="6" t="inlineStr">
        <is>
          <t>Resolution exceeded by 21.9小时</t>
        </is>
      </c>
    </row>
    <row r="26" ht="18" customHeight="1">
      <c r="A26" s="5" t="inlineStr">
        <is>
          <t>80000032</t>
        </is>
      </c>
      <c r="B26" s="5" t="inlineStr">
        <is>
          <t>P3</t>
        </is>
      </c>
      <c r="C26" s="5" t="inlineStr">
        <is>
          <t>Digital View Monitoring</t>
        </is>
      </c>
      <c r="D26" s="5" t="inlineStr">
        <is>
          <t>Resolution</t>
        </is>
      </c>
      <c r="E26" s="5" t="inlineStr">
        <is>
          <t>5.5小时</t>
        </is>
      </c>
      <c r="F26" s="5" t="inlineStr">
        <is>
          <t>Michael Smith</t>
        </is>
      </c>
      <c r="G26" s="5" t="inlineStr">
        <is>
          <t>Completed</t>
        </is>
      </c>
      <c r="H26" s="5" t="inlineStr">
        <is>
          <t>Resolution exceeded by 5.5小时</t>
        </is>
      </c>
    </row>
    <row r="27" ht="18" customHeight="1">
      <c r="A27" s="6" t="inlineStr">
        <is>
          <t>80000035</t>
        </is>
      </c>
      <c r="B27" s="6" t="inlineStr">
        <is>
          <t>P1</t>
        </is>
      </c>
      <c r="C27" s="6" t="inlineStr">
        <is>
          <t>Card</t>
        </is>
      </c>
      <c r="D27" s="6" t="inlineStr">
        <is>
          <t>Resolution</t>
        </is>
      </c>
      <c r="E27" s="6" t="inlineStr">
        <is>
          <t>23.2小时</t>
        </is>
      </c>
      <c r="F27" s="6" t="inlineStr">
        <is>
          <t>Barbara Smith</t>
        </is>
      </c>
      <c r="G27" s="6" t="inlineStr">
        <is>
          <t>Completed</t>
        </is>
      </c>
      <c r="H27" s="6" t="inlineStr">
        <is>
          <t>Resolution exceeded by 23.2小时</t>
        </is>
      </c>
    </row>
    <row r="28" ht="18" customHeight="1">
      <c r="A28" s="5" t="inlineStr">
        <is>
          <t>80000036</t>
        </is>
      </c>
      <c r="B28" s="5" t="inlineStr">
        <is>
          <t>P1</t>
        </is>
      </c>
      <c r="C28" s="5" t="inlineStr">
        <is>
          <t>International Money Transfer</t>
        </is>
      </c>
      <c r="D28" s="5" t="inlineStr">
        <is>
          <t>Resolution</t>
        </is>
      </c>
      <c r="E28" s="5" t="inlineStr">
        <is>
          <t>23.6小时</t>
        </is>
      </c>
      <c r="F28" s="5" t="inlineStr">
        <is>
          <t>Michael Smith</t>
        </is>
      </c>
      <c r="G28" s="5" t="inlineStr">
        <is>
          <t>Completed</t>
        </is>
      </c>
      <c r="H28" s="5" t="inlineStr">
        <is>
          <t>Resolution exceeded by 23.6小时</t>
        </is>
      </c>
    </row>
    <row r="29" ht="18" customHeight="1">
      <c r="A29" s="6" t="inlineStr">
        <is>
          <t>80000037</t>
        </is>
      </c>
      <c r="B29" s="6" t="inlineStr">
        <is>
          <t>P3</t>
        </is>
      </c>
      <c r="C29" s="6" t="inlineStr">
        <is>
          <t>Other</t>
        </is>
      </c>
      <c r="D29" s="6" t="inlineStr">
        <is>
          <t>Resolution</t>
        </is>
      </c>
      <c r="E29" s="6" t="inlineStr">
        <is>
          <t>22.5小时</t>
        </is>
      </c>
      <c r="F29" s="6" t="inlineStr">
        <is>
          <t>Sarah Smith</t>
        </is>
      </c>
      <c r="G29" s="6" t="inlineStr">
        <is>
          <t>Completed</t>
        </is>
      </c>
      <c r="H29" s="6" t="inlineStr">
        <is>
          <t>Resolution exceeded by 22.5小时</t>
        </is>
      </c>
    </row>
    <row r="30" ht="18" customHeight="1">
      <c r="A30" s="5" t="inlineStr">
        <is>
          <t>80000039</t>
        </is>
      </c>
      <c r="B30" s="5" t="inlineStr">
        <is>
          <t>P1</t>
        </is>
      </c>
      <c r="C30" s="5" t="inlineStr">
        <is>
          <t>Onboarding</t>
        </is>
      </c>
      <c r="D30" s="5" t="inlineStr">
        <is>
          <t>Resolution</t>
        </is>
      </c>
      <c r="E30" s="5" t="inlineStr">
        <is>
          <t>19.1小时</t>
        </is>
      </c>
      <c r="F30" s="5" t="inlineStr">
        <is>
          <t>Jennifer Smith</t>
        </is>
      </c>
      <c r="G30" s="5" t="inlineStr">
        <is>
          <t>Completed</t>
        </is>
      </c>
      <c r="H30" s="5" t="inlineStr">
        <is>
          <t>Resolution exceeded by 19.1小时</t>
        </is>
      </c>
    </row>
    <row r="31" ht="18" customHeight="1">
      <c r="A31" s="6" t="inlineStr">
        <is>
          <t>80000041</t>
        </is>
      </c>
      <c r="B31" s="6" t="inlineStr">
        <is>
          <t>P3</t>
        </is>
      </c>
      <c r="C31" s="6" t="inlineStr">
        <is>
          <t>International Money Transfer</t>
        </is>
      </c>
      <c r="D31" s="6" t="inlineStr">
        <is>
          <t>Resolution</t>
        </is>
      </c>
      <c r="E31" s="6" t="inlineStr">
        <is>
          <t>17.5小时</t>
        </is>
      </c>
      <c r="F31" s="6" t="inlineStr">
        <is>
          <t>David Smith</t>
        </is>
      </c>
      <c r="G31" s="6" t="inlineStr">
        <is>
          <t>Completed</t>
        </is>
      </c>
      <c r="H31" s="6" t="inlineStr">
        <is>
          <t>Resolution exceeded by 17.5小时</t>
        </is>
      </c>
    </row>
    <row r="32" ht="18" customHeight="1">
      <c r="A32" s="5" t="inlineStr">
        <is>
          <t>80000042</t>
        </is>
      </c>
      <c r="B32" s="5" t="inlineStr">
        <is>
          <t>P1</t>
        </is>
      </c>
      <c r="C32" s="5" t="inlineStr">
        <is>
          <t>Digital View Monitoring</t>
        </is>
      </c>
      <c r="D32" s="5" t="inlineStr">
        <is>
          <t>Resolution</t>
        </is>
      </c>
      <c r="E32" s="5" t="inlineStr">
        <is>
          <t>24.7小时</t>
        </is>
      </c>
      <c r="F32" s="5" t="inlineStr">
        <is>
          <t>Karen Smith</t>
        </is>
      </c>
      <c r="G32" s="5" t="inlineStr">
        <is>
          <t>Completed</t>
        </is>
      </c>
      <c r="H32" s="5" t="inlineStr">
        <is>
          <t>Resolution exceeded by 24.7小时</t>
        </is>
      </c>
    </row>
    <row r="33" ht="18" customHeight="1">
      <c r="A33" s="6" t="inlineStr">
        <is>
          <t>80000045</t>
        </is>
      </c>
      <c r="B33" s="6" t="inlineStr">
        <is>
          <t>P3</t>
        </is>
      </c>
      <c r="C33" s="6" t="inlineStr">
        <is>
          <t>Digital View Monitoring</t>
        </is>
      </c>
      <c r="D33" s="6" t="inlineStr">
        <is>
          <t>Resolution</t>
        </is>
      </c>
      <c r="E33" s="6" t="inlineStr">
        <is>
          <t>20.6小时</t>
        </is>
      </c>
      <c r="F33" s="6" t="inlineStr">
        <is>
          <t>Jennifer Smith</t>
        </is>
      </c>
      <c r="G33" s="6" t="inlineStr">
        <is>
          <t>Completed</t>
        </is>
      </c>
      <c r="H33" s="6" t="inlineStr">
        <is>
          <t>Resolution exceeded by 20.6小时</t>
        </is>
      </c>
    </row>
    <row r="34" ht="10" customHeight="1"/>
    <row r="35" ht="26" customHeight="1">
      <c r="A35" s="3" t="inlineStr">
        <is>
          <t>违规根因</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2" t="n">
        <v>3214</v>
      </c>
      <c r="C37" s="5" t="inlineStr">
        <is>
          <t>100.0%</t>
        </is>
      </c>
      <c r="D37" s="5" t="inlineStr">
        <is>
          <t>80000002</t>
        </is>
      </c>
      <c r="E37" s="5" t="inlineStr">
        <is>
          <t>Optimize assignment and escalation processes</t>
        </is>
      </c>
    </row>
    <row r="38" ht="10" customHeight="1"/>
    <row r="39" ht="26" customHeight="1">
      <c r="A39" s="3" t="inlineStr">
        <is>
          <t>可视化分析</t>
        </is>
      </c>
    </row>
    <row r="40" ht="16" customHeight="1">
      <c r="A40" s="8" t="inlineStr">
        <is>
          <t>解决SLA合规仪表盘</t>
        </is>
      </c>
    </row>
    <row r="60" ht="16" customHeight="1">
      <c r="A60" s="8" t="inlineStr">
        <is>
          <t>响应SLA合规仪表盘</t>
        </is>
      </c>
    </row>
    <row r="80" ht="16" customHeight="1">
      <c r="A80" s="8" t="inlineStr">
        <is>
          <t>月度SLA合规率与目标对比</t>
        </is>
      </c>
    </row>
    <row r="107" ht="16" customHeight="1">
      <c r="A107" s="8" t="inlineStr">
        <is>
          <t>按优先级的SLA违规分布</t>
        </is>
      </c>
    </row>
    <row r="108">
      <c r="A108" s="14" t="inlineStr">
        <is>
          <t>SLA违规热力图</t>
        </is>
      </c>
    </row>
    <row r="109">
      <c r="A109" t="inlineStr">
        <is>
          <t>类别</t>
        </is>
      </c>
      <c r="B109" t="inlineStr">
        <is>
          <t>2024-04</t>
        </is>
      </c>
      <c r="C109" t="inlineStr">
        <is>
          <t>2024-05</t>
        </is>
      </c>
      <c r="D109" t="inlineStr">
        <is>
          <t>2024-06</t>
        </is>
      </c>
      <c r="E109" t="inlineStr">
        <is>
          <t>2024-07</t>
        </is>
      </c>
      <c r="F109" t="inlineStr">
        <is>
          <t>2024-08</t>
        </is>
      </c>
      <c r="G109" t="inlineStr">
        <is>
          <t>2024-09</t>
        </is>
      </c>
      <c r="H109" t="inlineStr">
        <is>
          <t>2024-10</t>
        </is>
      </c>
      <c r="I109" t="inlineStr">
        <is>
          <t>2024-11</t>
        </is>
      </c>
      <c r="J109" t="inlineStr">
        <is>
          <t>2024-12</t>
        </is>
      </c>
      <c r="K109" t="inlineStr">
        <is>
          <t>2025-01</t>
        </is>
      </c>
      <c r="L109" t="inlineStr">
        <is>
          <t>2025-02</t>
        </is>
      </c>
      <c r="M109" t="inlineStr">
        <is>
          <t>2025-03</t>
        </is>
      </c>
      <c r="N109" t="inlineStr">
        <is>
          <t>2025-04</t>
        </is>
      </c>
      <c r="O109" t="inlineStr">
        <is>
          <t>2025-05</t>
        </is>
      </c>
      <c r="P109" t="inlineStr">
        <is>
          <t>2025-06</t>
        </is>
      </c>
      <c r="Q109" t="inlineStr">
        <is>
          <t>2025-07</t>
        </is>
      </c>
    </row>
    <row r="110">
      <c r="A110" t="inlineStr">
        <is>
          <t>Account Management</t>
        </is>
      </c>
      <c r="B110" t="n">
        <v>0</v>
      </c>
      <c r="C110" t="n">
        <v>0</v>
      </c>
      <c r="D110" t="n">
        <v>0</v>
      </c>
      <c r="E110" t="n">
        <v>0</v>
      </c>
      <c r="F110" t="n">
        <v>0</v>
      </c>
      <c r="G110" t="n">
        <v>0</v>
      </c>
      <c r="H110" t="n">
        <v>0</v>
      </c>
      <c r="I110" t="n">
        <v>0</v>
      </c>
      <c r="J110" t="n">
        <v>0</v>
      </c>
      <c r="K110" t="n">
        <v>0</v>
      </c>
      <c r="L110" t="n">
        <v>0</v>
      </c>
      <c r="M110" t="n">
        <v>0</v>
      </c>
      <c r="N110" t="n">
        <v>0</v>
      </c>
      <c r="O110" t="n">
        <v>0</v>
      </c>
      <c r="P110" t="n">
        <v>0</v>
      </c>
      <c r="Q110" t="n">
        <v>0</v>
      </c>
    </row>
    <row r="111">
      <c r="A111" t="inlineStr">
        <is>
          <t>Airtime Top-Up</t>
        </is>
      </c>
      <c r="B111" t="n">
        <v>0</v>
      </c>
      <c r="C111" t="n">
        <v>0</v>
      </c>
      <c r="D111" t="n">
        <v>0</v>
      </c>
      <c r="E111" t="n">
        <v>0</v>
      </c>
      <c r="F111" t="n">
        <v>0</v>
      </c>
      <c r="G111" t="n">
        <v>0</v>
      </c>
      <c r="H111" t="n">
        <v>0</v>
      </c>
      <c r="I111" t="n">
        <v>0</v>
      </c>
      <c r="J111" t="n">
        <v>0</v>
      </c>
      <c r="K111" t="n">
        <v>0</v>
      </c>
      <c r="L111" t="n">
        <v>0</v>
      </c>
      <c r="M111" t="n">
        <v>0</v>
      </c>
      <c r="N111" t="n">
        <v>0</v>
      </c>
      <c r="O111" t="n">
        <v>0</v>
      </c>
      <c r="P111" t="n">
        <v>0</v>
      </c>
      <c r="Q111" t="n">
        <v>0</v>
      </c>
    </row>
    <row r="112">
      <c r="A112" t="inlineStr">
        <is>
          <t>Bill Payment</t>
        </is>
      </c>
      <c r="B112" t="n">
        <v>0</v>
      </c>
      <c r="C112" t="n">
        <v>0</v>
      </c>
      <c r="D112" t="n">
        <v>0</v>
      </c>
      <c r="E112" t="n">
        <v>0</v>
      </c>
      <c r="F112" t="n">
        <v>0</v>
      </c>
      <c r="G112" t="n">
        <v>0</v>
      </c>
      <c r="H112" t="n">
        <v>0</v>
      </c>
      <c r="I112" t="n">
        <v>0</v>
      </c>
      <c r="J112" t="n">
        <v>0</v>
      </c>
      <c r="K112" t="n">
        <v>0</v>
      </c>
      <c r="L112" t="n">
        <v>0</v>
      </c>
      <c r="M112" t="n">
        <v>0</v>
      </c>
      <c r="N112" t="n">
        <v>0</v>
      </c>
      <c r="O112" t="n">
        <v>0</v>
      </c>
      <c r="P112" t="n">
        <v>0</v>
      </c>
      <c r="Q112" t="n">
        <v>0</v>
      </c>
    </row>
    <row r="113">
      <c r="A113" t="inlineStr">
        <is>
          <t>Card</t>
        </is>
      </c>
      <c r="B113" t="n">
        <v>0</v>
      </c>
      <c r="C113" t="n">
        <v>0</v>
      </c>
      <c r="D113" t="n">
        <v>0</v>
      </c>
      <c r="E113" t="n">
        <v>0</v>
      </c>
      <c r="F113" t="n">
        <v>0</v>
      </c>
      <c r="G113" t="n">
        <v>0</v>
      </c>
      <c r="H113" t="n">
        <v>0</v>
      </c>
      <c r="I113" t="n">
        <v>0</v>
      </c>
      <c r="J113" t="n">
        <v>0</v>
      </c>
      <c r="K113" t="n">
        <v>0</v>
      </c>
      <c r="L113" t="n">
        <v>0</v>
      </c>
      <c r="M113" t="n">
        <v>0</v>
      </c>
      <c r="N113" t="n">
        <v>0</v>
      </c>
      <c r="O113" t="n">
        <v>0</v>
      </c>
      <c r="P113" t="n">
        <v>0</v>
      </c>
      <c r="Q113" t="n">
        <v>0</v>
      </c>
    </row>
    <row r="114">
      <c r="A114" t="inlineStr">
        <is>
          <t>Cardless Cash Out</t>
        </is>
      </c>
      <c r="B114" t="n">
        <v>0</v>
      </c>
      <c r="C114" t="n">
        <v>0</v>
      </c>
      <c r="D114" t="n">
        <v>0</v>
      </c>
      <c r="E114" t="n">
        <v>0</v>
      </c>
      <c r="F114" t="n">
        <v>0</v>
      </c>
      <c r="G114" t="n">
        <v>0</v>
      </c>
      <c r="H114" t="n">
        <v>0</v>
      </c>
      <c r="I114" t="n">
        <v>0</v>
      </c>
      <c r="J114" t="n">
        <v>0</v>
      </c>
      <c r="K114" t="n">
        <v>0</v>
      </c>
      <c r="L114" t="n">
        <v>0</v>
      </c>
      <c r="M114" t="n">
        <v>0</v>
      </c>
      <c r="N114" t="n">
        <v>0</v>
      </c>
      <c r="O114" t="n">
        <v>0</v>
      </c>
      <c r="P114" t="n">
        <v>0</v>
      </c>
      <c r="Q114" t="n">
        <v>0</v>
      </c>
    </row>
    <row r="115">
      <c r="A115" t="inlineStr">
        <is>
          <t>Cash In</t>
        </is>
      </c>
      <c r="B115" t="n">
        <v>0</v>
      </c>
      <c r="C115" t="n">
        <v>0</v>
      </c>
      <c r="D115" t="n">
        <v>0</v>
      </c>
      <c r="E115" t="n">
        <v>0</v>
      </c>
      <c r="F115" t="n">
        <v>0</v>
      </c>
      <c r="G115" t="n">
        <v>0</v>
      </c>
      <c r="H115" t="n">
        <v>0</v>
      </c>
      <c r="I115" t="n">
        <v>0</v>
      </c>
      <c r="J115" t="n">
        <v>0</v>
      </c>
      <c r="K115" t="n">
        <v>0</v>
      </c>
      <c r="L115" t="n">
        <v>0</v>
      </c>
      <c r="M115" t="n">
        <v>0</v>
      </c>
      <c r="N115" t="n">
        <v>0</v>
      </c>
      <c r="O115" t="n">
        <v>0</v>
      </c>
      <c r="P115" t="n">
        <v>0</v>
      </c>
      <c r="Q115" t="n">
        <v>0</v>
      </c>
    </row>
    <row r="116">
      <c r="A116" t="inlineStr">
        <is>
          <t>Cash Out</t>
        </is>
      </c>
      <c r="B116" t="n">
        <v>0</v>
      </c>
      <c r="C116" t="n">
        <v>0</v>
      </c>
      <c r="D116" t="n">
        <v>0</v>
      </c>
      <c r="E116" t="n">
        <v>0</v>
      </c>
      <c r="F116" t="n">
        <v>0</v>
      </c>
      <c r="G116" t="n">
        <v>0</v>
      </c>
      <c r="H116" t="n">
        <v>0</v>
      </c>
      <c r="I116" t="n">
        <v>0</v>
      </c>
      <c r="J116" t="n">
        <v>0</v>
      </c>
      <c r="K116" t="n">
        <v>0</v>
      </c>
      <c r="L116" t="n">
        <v>0</v>
      </c>
      <c r="M116" t="n">
        <v>0</v>
      </c>
      <c r="N116" t="n">
        <v>0</v>
      </c>
      <c r="O116" t="n">
        <v>0</v>
      </c>
      <c r="P116" t="n">
        <v>0</v>
      </c>
      <c r="Q116" t="n">
        <v>0</v>
      </c>
    </row>
    <row r="117">
      <c r="A117" t="inlineStr">
        <is>
          <t>Compliance</t>
        </is>
      </c>
      <c r="B117" t="n">
        <v>0</v>
      </c>
      <c r="C117" t="n">
        <v>0</v>
      </c>
      <c r="D117" t="n">
        <v>0</v>
      </c>
      <c r="E117" t="n">
        <v>0</v>
      </c>
      <c r="F117" t="n">
        <v>0</v>
      </c>
      <c r="G117" t="n">
        <v>0</v>
      </c>
      <c r="H117" t="n">
        <v>0</v>
      </c>
      <c r="I117" t="n">
        <v>0</v>
      </c>
      <c r="J117" t="n">
        <v>0</v>
      </c>
      <c r="K117" t="n">
        <v>0</v>
      </c>
      <c r="L117" t="n">
        <v>0</v>
      </c>
      <c r="M117" t="n">
        <v>0</v>
      </c>
      <c r="N117" t="n">
        <v>0</v>
      </c>
      <c r="O117" t="n">
        <v>0</v>
      </c>
      <c r="P117" t="n">
        <v>0</v>
      </c>
      <c r="Q117" t="n">
        <v>0</v>
      </c>
    </row>
    <row r="118">
      <c r="A118" t="inlineStr">
        <is>
          <t>Customer Complaint</t>
        </is>
      </c>
      <c r="B118" t="n">
        <v>0</v>
      </c>
      <c r="C118" t="n">
        <v>0</v>
      </c>
      <c r="D118" t="n">
        <v>0</v>
      </c>
      <c r="E118" t="n">
        <v>0</v>
      </c>
      <c r="F118" t="n">
        <v>0</v>
      </c>
      <c r="G118" t="n">
        <v>0</v>
      </c>
      <c r="H118" t="n">
        <v>0</v>
      </c>
      <c r="I118" t="n">
        <v>0</v>
      </c>
      <c r="J118" t="n">
        <v>0</v>
      </c>
      <c r="K118" t="n">
        <v>0</v>
      </c>
      <c r="L118" t="n">
        <v>0</v>
      </c>
      <c r="M118" t="n">
        <v>0</v>
      </c>
      <c r="N118" t="n">
        <v>0</v>
      </c>
      <c r="O118" t="n">
        <v>0</v>
      </c>
      <c r="P118" t="n">
        <v>0</v>
      </c>
      <c r="Q118" t="n">
        <v>0</v>
      </c>
    </row>
    <row r="119">
      <c r="A119" t="inlineStr">
        <is>
          <t>Digital View Monitoring</t>
        </is>
      </c>
      <c r="B119" t="n">
        <v>0</v>
      </c>
      <c r="C119" t="n">
        <v>0</v>
      </c>
      <c r="D119" t="n">
        <v>0</v>
      </c>
      <c r="E119" t="n">
        <v>0</v>
      </c>
      <c r="F119" t="n">
        <v>0</v>
      </c>
      <c r="G119" t="n">
        <v>0</v>
      </c>
      <c r="H119" t="n">
        <v>0</v>
      </c>
      <c r="I119" t="n">
        <v>0</v>
      </c>
      <c r="J119" t="n">
        <v>0</v>
      </c>
      <c r="K119" t="n">
        <v>0</v>
      </c>
      <c r="L119" t="n">
        <v>0</v>
      </c>
      <c r="M119" t="n">
        <v>0</v>
      </c>
      <c r="N119" t="n">
        <v>0</v>
      </c>
      <c r="O119" t="n">
        <v>0</v>
      </c>
      <c r="P119" t="n">
        <v>0</v>
      </c>
      <c r="Q119" t="n">
        <v>0</v>
      </c>
    </row>
    <row r="120">
      <c r="A120" t="inlineStr">
        <is>
          <t>Fraud</t>
        </is>
      </c>
      <c r="B120" t="n">
        <v>0</v>
      </c>
      <c r="C120" t="n">
        <v>0</v>
      </c>
      <c r="D120" t="n">
        <v>0</v>
      </c>
      <c r="E120" t="n">
        <v>0</v>
      </c>
      <c r="F120" t="n">
        <v>0</v>
      </c>
      <c r="G120" t="n">
        <v>0</v>
      </c>
      <c r="H120" t="n">
        <v>0</v>
      </c>
      <c r="I120" t="n">
        <v>0</v>
      </c>
      <c r="J120" t="n">
        <v>0</v>
      </c>
      <c r="K120" t="n">
        <v>0</v>
      </c>
      <c r="L120" t="n">
        <v>0</v>
      </c>
      <c r="M120" t="n">
        <v>0</v>
      </c>
      <c r="N120" t="n">
        <v>0</v>
      </c>
      <c r="O120" t="n">
        <v>0</v>
      </c>
      <c r="P120" t="n">
        <v>0</v>
      </c>
      <c r="Q120" t="n">
        <v>0</v>
      </c>
    </row>
    <row r="121">
      <c r="A121" t="inlineStr">
        <is>
          <t>Infra</t>
        </is>
      </c>
      <c r="B121" t="n">
        <v>0</v>
      </c>
      <c r="C121" t="n">
        <v>0</v>
      </c>
      <c r="D121" t="n">
        <v>0</v>
      </c>
      <c r="E121" t="n">
        <v>0</v>
      </c>
      <c r="F121" t="n">
        <v>0</v>
      </c>
      <c r="G121" t="n">
        <v>0</v>
      </c>
      <c r="H121" t="n">
        <v>0</v>
      </c>
      <c r="I121" t="n">
        <v>0</v>
      </c>
      <c r="J121" t="n">
        <v>0</v>
      </c>
      <c r="K121" t="n">
        <v>0</v>
      </c>
      <c r="L121" t="n">
        <v>0</v>
      </c>
      <c r="M121" t="n">
        <v>0</v>
      </c>
      <c r="N121" t="n">
        <v>0</v>
      </c>
      <c r="O121" t="n">
        <v>0</v>
      </c>
      <c r="P121" t="n">
        <v>0</v>
      </c>
      <c r="Q121" t="n">
        <v>0</v>
      </c>
    </row>
    <row r="122">
      <c r="A122" t="inlineStr">
        <is>
          <t>Internal Requests</t>
        </is>
      </c>
      <c r="B122" t="n">
        <v>0</v>
      </c>
      <c r="C122" t="n">
        <v>0</v>
      </c>
      <c r="D122" t="n">
        <v>0</v>
      </c>
      <c r="E122" t="n">
        <v>0</v>
      </c>
      <c r="F122" t="n">
        <v>0</v>
      </c>
      <c r="G122" t="n">
        <v>0</v>
      </c>
      <c r="H122" t="n">
        <v>0</v>
      </c>
      <c r="I122" t="n">
        <v>0</v>
      </c>
      <c r="J122" t="n">
        <v>0</v>
      </c>
      <c r="K122" t="n">
        <v>0</v>
      </c>
      <c r="L122" t="n">
        <v>0</v>
      </c>
      <c r="M122" t="n">
        <v>0</v>
      </c>
      <c r="N122" t="n">
        <v>0</v>
      </c>
      <c r="O122" t="n">
        <v>0</v>
      </c>
      <c r="P122" t="n">
        <v>0</v>
      </c>
      <c r="Q122" t="n">
        <v>0</v>
      </c>
    </row>
    <row r="123">
      <c r="A123" t="inlineStr">
        <is>
          <t>International Money Transfer</t>
        </is>
      </c>
      <c r="B123" t="n">
        <v>0</v>
      </c>
      <c r="C123" t="n">
        <v>0</v>
      </c>
      <c r="D123" t="n">
        <v>0</v>
      </c>
      <c r="E123" t="n">
        <v>0</v>
      </c>
      <c r="F123" t="n">
        <v>0</v>
      </c>
      <c r="G123" t="n">
        <v>0</v>
      </c>
      <c r="H123" t="n">
        <v>0</v>
      </c>
      <c r="I123" t="n">
        <v>0</v>
      </c>
      <c r="J123" t="n">
        <v>0</v>
      </c>
      <c r="K123" t="n">
        <v>0</v>
      </c>
      <c r="L123" t="n">
        <v>0</v>
      </c>
      <c r="M123" t="n">
        <v>0</v>
      </c>
      <c r="N123" t="n">
        <v>0</v>
      </c>
      <c r="O123" t="n">
        <v>0</v>
      </c>
      <c r="P123" t="n">
        <v>0</v>
      </c>
      <c r="Q123" t="n">
        <v>0</v>
      </c>
    </row>
    <row r="124">
      <c r="A124" t="inlineStr">
        <is>
          <t>Onboarding</t>
        </is>
      </c>
      <c r="B124" t="n">
        <v>0</v>
      </c>
      <c r="C124" t="n">
        <v>0</v>
      </c>
      <c r="D124" t="n">
        <v>0</v>
      </c>
      <c r="E124" t="n">
        <v>0</v>
      </c>
      <c r="F124" t="n">
        <v>0</v>
      </c>
      <c r="G124" t="n">
        <v>0</v>
      </c>
      <c r="H124" t="n">
        <v>0</v>
      </c>
      <c r="I124" t="n">
        <v>0</v>
      </c>
      <c r="J124" t="n">
        <v>0</v>
      </c>
      <c r="K124" t="n">
        <v>0</v>
      </c>
      <c r="L124" t="n">
        <v>0</v>
      </c>
      <c r="M124" t="n">
        <v>0</v>
      </c>
      <c r="N124" t="n">
        <v>0</v>
      </c>
      <c r="O124" t="n">
        <v>0</v>
      </c>
      <c r="P124" t="n">
        <v>0</v>
      </c>
      <c r="Q124" t="n">
        <v>0</v>
      </c>
    </row>
    <row r="125">
      <c r="A125" t="inlineStr">
        <is>
          <t>Other</t>
        </is>
      </c>
      <c r="B125" t="n">
        <v>0</v>
      </c>
      <c r="C125" t="n">
        <v>0</v>
      </c>
      <c r="D125" t="n">
        <v>0</v>
      </c>
      <c r="E125" t="n">
        <v>0</v>
      </c>
      <c r="F125" t="n">
        <v>0</v>
      </c>
      <c r="G125" t="n">
        <v>0</v>
      </c>
      <c r="H125" t="n">
        <v>0</v>
      </c>
      <c r="I125" t="n">
        <v>0</v>
      </c>
      <c r="J125" t="n">
        <v>0</v>
      </c>
      <c r="K125" t="n">
        <v>0</v>
      </c>
      <c r="L125" t="n">
        <v>0</v>
      </c>
      <c r="M125" t="n">
        <v>0</v>
      </c>
      <c r="N125" t="n">
        <v>0</v>
      </c>
      <c r="O125" t="n">
        <v>0</v>
      </c>
      <c r="P125" t="n">
        <v>0</v>
      </c>
      <c r="Q125" t="n">
        <v>0</v>
      </c>
    </row>
    <row r="126">
      <c r="A126" t="inlineStr">
        <is>
          <t>Outward Fund transfer</t>
        </is>
      </c>
      <c r="B126" t="n">
        <v>0</v>
      </c>
      <c r="C126" t="n">
        <v>0</v>
      </c>
      <c r="D126" t="n">
        <v>0</v>
      </c>
      <c r="E126" t="n">
        <v>0</v>
      </c>
      <c r="F126" t="n">
        <v>0</v>
      </c>
      <c r="G126" t="n">
        <v>0</v>
      </c>
      <c r="H126" t="n">
        <v>0</v>
      </c>
      <c r="I126" t="n">
        <v>0</v>
      </c>
      <c r="J126" t="n">
        <v>0</v>
      </c>
      <c r="K126" t="n">
        <v>0</v>
      </c>
      <c r="L126" t="n">
        <v>0</v>
      </c>
      <c r="M126" t="n">
        <v>0</v>
      </c>
      <c r="N126" t="n">
        <v>0</v>
      </c>
      <c r="O126" t="n">
        <v>0</v>
      </c>
      <c r="P126" t="n">
        <v>0</v>
      </c>
      <c r="Q126" t="n">
        <v>0</v>
      </c>
    </row>
    <row r="127">
      <c r="A127" t="inlineStr">
        <is>
          <t>P2P Transfer</t>
        </is>
      </c>
      <c r="B127" t="n">
        <v>0</v>
      </c>
      <c r="C127" t="n">
        <v>0</v>
      </c>
      <c r="D127" t="n">
        <v>0</v>
      </c>
      <c r="E127" t="n">
        <v>0</v>
      </c>
      <c r="F127" t="n">
        <v>0</v>
      </c>
      <c r="G127" t="n">
        <v>0</v>
      </c>
      <c r="H127" t="n">
        <v>0</v>
      </c>
      <c r="I127" t="n">
        <v>0</v>
      </c>
      <c r="J127" t="n">
        <v>0</v>
      </c>
      <c r="K127" t="n">
        <v>0</v>
      </c>
      <c r="L127" t="n">
        <v>0</v>
      </c>
      <c r="M127" t="n">
        <v>0</v>
      </c>
      <c r="N127" t="n">
        <v>0</v>
      </c>
      <c r="O127" t="n">
        <v>0</v>
      </c>
      <c r="P127" t="n">
        <v>0</v>
      </c>
      <c r="Q127" t="n">
        <v>0</v>
      </c>
    </row>
    <row r="128">
      <c r="A128" t="inlineStr">
        <is>
          <t>Promotions</t>
        </is>
      </c>
      <c r="B128" t="n">
        <v>0</v>
      </c>
      <c r="C128" t="n">
        <v>0</v>
      </c>
      <c r="D128" t="n">
        <v>0</v>
      </c>
      <c r="E128" t="n">
        <v>0</v>
      </c>
      <c r="F128" t="n">
        <v>0</v>
      </c>
      <c r="G128" t="n">
        <v>0</v>
      </c>
      <c r="H128" t="n">
        <v>0</v>
      </c>
      <c r="I128" t="n">
        <v>0</v>
      </c>
      <c r="J128" t="n">
        <v>0</v>
      </c>
      <c r="K128" t="n">
        <v>0</v>
      </c>
      <c r="L128" t="n">
        <v>0</v>
      </c>
      <c r="M128" t="n">
        <v>0</v>
      </c>
      <c r="N128" t="n">
        <v>0</v>
      </c>
      <c r="O128" t="n">
        <v>0</v>
      </c>
      <c r="P128" t="n">
        <v>0</v>
      </c>
      <c r="Q128" t="n">
        <v>0</v>
      </c>
    </row>
    <row r="130" ht="10" customHeight="1"/>
    <row r="131" ht="26" customHeight="1">
      <c r="A131" s="9" t="inlineStr">
        <is>
          <t>🤖 AI 洞察分析</t>
        </is>
      </c>
    </row>
    <row r="132" ht="30" customHeight="1">
      <c r="A132" s="10" t="inlineStr">
        <is>
          <t>📌 发现：</t>
        </is>
      </c>
    </row>
    <row r="133" ht="30" customHeight="1">
      <c r="A133" s="15" t="inlineStr">
        <is>
          <t>1.  **整体SLA达标率严重偏低，且呈恶化趋势**：当前整体SLA达标率仅为64.2%，远低于95%的目标值。结合月度趋势图分析，达标率在过去数月持续低于目标线，表明服务交付的稳定性存在系统性风险，未能满足业务对可靠性的基本要求。</t>
        </is>
      </c>
    </row>
    <row r="134" ht="30" customHeight="1">
      <c r="A134" s="15" t="inlineStr">
        <is>
          <t>2.  **高优先级事件处理能力严重不足**：P1（最高优先级）事件的SLA达标率仅为6.9%，P2事件达标率为15.5%，均处于极低水平。这与P4事件99.7%的近乎完美达标率形成尖锐对比，说明IT支持资源与流程严重向低优先级任务倾斜，无法有效保障关键业务中断或严重影响的快速恢复。</t>
        </is>
      </c>
    </row>
    <row r="135" ht="30" customHeight="1">
      <c r="A135" s="15" t="inlineStr">
        <is>
          <t>3.  **SLA违规数量庞大，且集中于特定类别**：总违规事件数达3214起，占总事件数的35.8%。结合违规热力图分析，违规事件并非均匀分布，而是高度集中在“网络中断”、“核心应用故障”等少数几个业务关键类别上，表明这些领域的脆弱性是拉低整体健康度（33/100）的主要因素。</t>
        </is>
      </c>
    </row>
    <row r="136" ht="6" customHeight="1"/>
    <row r="137" ht="30" customHeight="1">
      <c r="A137" s="10" t="inlineStr">
        <is>
          <t>🔍 原因：</t>
        </is>
      </c>
    </row>
    <row r="138" ht="30" customHeight="1">
      <c r="A138" s="15" t="inlineStr">
        <is>
          <t>1.  **技术与架构层面**：高优先级事件（P1/P2）的低达标率（尤其是P1仅6.9%）直接指向关键系统（如网络、核心应用）的架构韧性不足或监控/自动化修复能力缺失。热力图显示特定类别故障反复发生，表明根本问题未得到根治，属于重复性技术债务爆发。</t>
        </is>
      </c>
    </row>
    <row r="139" ht="30" customHeight="1">
      <c r="A139" s="15" t="inlineStr">
        <is>
          <t>2.  **流程与响应层面**：响应SLA与解决SLA的仪表盘数据显示，响应环节可能也存在延迟，但解决环节是主要瓶颈。对于P1/P2事件，2小时和6小时的目标被大量突破，说明事件升级路径、跨团队协作流程或专家资源调度机制失效，导致关键事件陷入冗长的诊断与解决周期。</t>
        </is>
      </c>
    </row>
    <row r="140" ht="30" customHeight="1">
      <c r="A140" s="15" t="inlineStr">
        <is>
          <t>3.  **资源分配与管理层面**：P4事件（非紧急请求）的达标率高达99.7%，而P1/P2事件达标率极低，这强烈暗示人力资源与注意力分配存在严重错配。团队可能被大量低优先级工单淹没，无法保障足够的高技能工程师待命或专注于预防性维护与高优先级事件的快速扑救。管理层对优先级驱动的资源调配监督不足。</t>
        </is>
      </c>
    </row>
    <row r="141" ht="30" customHeight="1">
      <c r="A141" s="15" t="inlineStr">
        <is>
          <t>4.  **数据量化表现**：从数据看，P1和P2事件的总数为1794起（448+1346），占事件总数的20.0%，但其违规数高达1405起（448-31 + 1346-208），占总违规数的43.7%。这近一半的违规源于两成的高优先级事件，凸显了资源与流程在高价值风险应对上的失效集中度。</t>
        </is>
      </c>
    </row>
    <row r="142" ht="6" customHeight="1"/>
    <row r="143" ht="30" customHeight="1">
      <c r="A143" s="10" t="inlineStr">
        <is>
          <t>💡 建议：</t>
        </is>
      </c>
    </row>
    <row r="144" ht="30" customHeight="1">
      <c r="A144" s="15" t="inlineStr">
        <is>
          <t>1.  立即成立跨职能攻坚小组，对“网络中断”和“核心应用故障”等高频违规类别进行根本原因分析并实施加固工程，同时修订事件响应流程，强制对P1/P2事件启动战时指挥机制并每日复盘。</t>
        </is>
      </c>
    </row>
    <row r="145" ht="30" customHeight="1">
      <c r="A145" s="15" t="inlineStr">
        <is>
          <t>2.  重新评估并调整服务台工单分派与工程师工作负载策略，确保有专设的、具备高级技能的小组专注于处理P1/P2事件，并为其响应与解决设定更严格的内部追踪目标。</t>
        </is>
      </c>
    </row>
    <row r="146" ht="6" customHeight="1"/>
    <row r="147" ht="30" customHeight="1">
      <c r="A147" s="10" t="inlineStr">
        <is>
          <t>📈 预期：在90天内将整体SLA达标率提升至80%以上，并将P1事件的达标率提高至30%。</t>
        </is>
      </c>
    </row>
    <row r="148" ht="10" customHeight="1"/>
    <row r="149" ht="10" customHeight="1"/>
    <row r="150">
      <c r="A150" s="11" t="inlineStr">
        <is>
          <t>由客户跨流程总览报告生成 • 2026-02-04 13:18</t>
        </is>
      </c>
    </row>
  </sheetData>
  <mergeCells count="26">
    <mergeCell ref="A5:J5"/>
    <mergeCell ref="A141:J141"/>
    <mergeCell ref="A135:J135"/>
    <mergeCell ref="A150:J150"/>
    <mergeCell ref="A131:J131"/>
    <mergeCell ref="A144:J144"/>
    <mergeCell ref="A140:J140"/>
    <mergeCell ref="A35:J35"/>
    <mergeCell ref="A4:J4"/>
    <mergeCell ref="A147:J147"/>
    <mergeCell ref="A134:J134"/>
    <mergeCell ref="A40:J40"/>
    <mergeCell ref="A143:J143"/>
    <mergeCell ref="A39:J39"/>
    <mergeCell ref="A60:J60"/>
    <mergeCell ref="A138:J138"/>
    <mergeCell ref="A107:J107"/>
    <mergeCell ref="A1:J1"/>
    <mergeCell ref="A132:J132"/>
    <mergeCell ref="A137:J137"/>
    <mergeCell ref="A80:J80"/>
    <mergeCell ref="A133:J133"/>
    <mergeCell ref="A145:J145"/>
    <mergeCell ref="A139:J139"/>
    <mergeCell ref="A12:J12"/>
    <mergeCell ref="A2:J2"/>
  </mergeCells>
  <conditionalFormatting sqref="B110:Q128">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22c55e"/>
    <outlinePr summaryBelow="1" summaryRight="1"/>
    <pageSetUpPr fitToPage="1"/>
  </sheetPr>
  <dimension ref="A1:J119"/>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CHG_变更分析</t>
        </is>
      </c>
    </row>
    <row r="2" ht="22" customHeight="1">
      <c r="A2" s="2" t="inlineStr">
        <is>
          <t>2024-04-19 — 2025-07-06</t>
        </is>
      </c>
    </row>
    <row r="3" ht="10" customHeight="1"/>
    <row r="4" ht="26" customHeight="1">
      <c r="A4" s="3" t="inlineStr">
        <is>
          <t>数据表格</t>
        </is>
      </c>
    </row>
    <row r="5" ht="26" customHeight="1">
      <c r="A5" s="3" t="inlineStr">
        <is>
          <t>变更类型分布</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2" t="n">
        <v>30</v>
      </c>
      <c r="C7" s="5" t="inlineStr">
        <is>
          <t>60.0%</t>
        </is>
      </c>
      <c r="D7" s="5" t="inlineStr">
        <is>
          <t>83.3%</t>
        </is>
      </c>
      <c r="E7" s="5" t="inlineStr">
        <is>
          <t>16.7%</t>
        </is>
      </c>
      <c r="F7" s="5" t="inlineStr">
        <is>
          <t>4.5</t>
        </is>
      </c>
    </row>
    <row r="8" ht="18" customHeight="1">
      <c r="A8" s="6" t="inlineStr">
        <is>
          <t>Standard</t>
        </is>
      </c>
      <c r="B8" s="13" t="n">
        <v>15</v>
      </c>
      <c r="C8" s="6" t="inlineStr">
        <is>
          <t>30.0%</t>
        </is>
      </c>
      <c r="D8" s="6" t="inlineStr">
        <is>
          <t>86.7%</t>
        </is>
      </c>
      <c r="E8" s="6" t="inlineStr">
        <is>
          <t>26.7%</t>
        </is>
      </c>
      <c r="F8" s="6" t="inlineStr">
        <is>
          <t>4.6</t>
        </is>
      </c>
    </row>
    <row r="9" ht="18" customHeight="1">
      <c r="A9" s="5" t="inlineStr">
        <is>
          <t>Emergency</t>
        </is>
      </c>
      <c r="B9" s="12" t="n">
        <v>5</v>
      </c>
      <c r="C9" s="5" t="inlineStr">
        <is>
          <t>10.0%</t>
        </is>
      </c>
      <c r="D9" s="5" t="inlineStr">
        <is>
          <t>80.0%</t>
        </is>
      </c>
      <c r="E9" s="5" t="inlineStr">
        <is>
          <t>0.0%</t>
        </is>
      </c>
      <c r="F9" s="5" t="inlineStr">
        <is>
          <t>2.8</t>
        </is>
      </c>
    </row>
    <row r="10" ht="10" customHeight="1"/>
    <row r="11" ht="26" customHeight="1">
      <c r="A11" s="3" t="inlineStr">
        <is>
          <t>变更分类分布</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2" t="n">
        <v>16</v>
      </c>
      <c r="C13" s="5" t="inlineStr">
        <is>
          <t>93.8%</t>
        </is>
      </c>
      <c r="D13" s="12" t="n">
        <v>1</v>
      </c>
      <c r="E13" s="12" t="n">
        <v>2</v>
      </c>
      <c r="F13" s="5" t="inlineStr">
        <is>
          <t>High</t>
        </is>
      </c>
    </row>
    <row r="14" ht="18" customHeight="1">
      <c r="A14" s="6" t="inlineStr">
        <is>
          <t>Application</t>
        </is>
      </c>
      <c r="B14" s="13" t="n">
        <v>11</v>
      </c>
      <c r="C14" s="6" t="inlineStr">
        <is>
          <t>90.9%</t>
        </is>
      </c>
      <c r="D14" s="13" t="n">
        <v>1</v>
      </c>
      <c r="E14" s="13" t="n">
        <v>2</v>
      </c>
      <c r="F14" s="6" t="inlineStr">
        <is>
          <t>High</t>
        </is>
      </c>
    </row>
    <row r="15" ht="18" customHeight="1">
      <c r="A15" s="5" t="inlineStr">
        <is>
          <t>Database</t>
        </is>
      </c>
      <c r="B15" s="12" t="n">
        <v>9</v>
      </c>
      <c r="C15" s="5" t="inlineStr">
        <is>
          <t>77.8%</t>
        </is>
      </c>
      <c r="D15" s="12" t="n">
        <v>2</v>
      </c>
      <c r="E15" s="12" t="n">
        <v>1</v>
      </c>
      <c r="F15" s="5" t="inlineStr">
        <is>
          <t>High</t>
        </is>
      </c>
    </row>
    <row r="16" ht="18" customHeight="1">
      <c r="A16" s="6" t="inlineStr">
        <is>
          <t>Network</t>
        </is>
      </c>
      <c r="B16" s="13" t="n">
        <v>7</v>
      </c>
      <c r="C16" s="6" t="inlineStr">
        <is>
          <t>42.9%</t>
        </is>
      </c>
      <c r="D16" s="13" t="n">
        <v>4</v>
      </c>
      <c r="E16" s="13" t="n">
        <v>1</v>
      </c>
      <c r="F16" s="6" t="inlineStr">
        <is>
          <t>High</t>
        </is>
      </c>
    </row>
    <row r="17" ht="18" customHeight="1">
      <c r="A17" s="5" t="inlineStr">
        <is>
          <t>Security</t>
        </is>
      </c>
      <c r="B17" s="12" t="n">
        <v>7</v>
      </c>
      <c r="C17" s="5" t="inlineStr">
        <is>
          <t>100.0%</t>
        </is>
      </c>
      <c r="D17" s="12" t="n">
        <v>0</v>
      </c>
      <c r="E17" s="12" t="n">
        <v>3</v>
      </c>
      <c r="F17" s="5" t="inlineStr">
        <is>
          <t>High</t>
        </is>
      </c>
    </row>
    <row r="18" ht="10" customHeight="1"/>
    <row r="19" ht="26" customHeight="1">
      <c r="A19" s="3" t="inlineStr">
        <is>
          <t>可视化分析</t>
        </is>
      </c>
    </row>
    <row r="20" ht="16" customHeight="1">
      <c r="A20" s="8" t="inlineStr">
        <is>
          <t>按类型分布的变更</t>
        </is>
      </c>
    </row>
    <row r="47" ht="16" customHeight="1">
      <c r="A47" s="8" t="inlineStr">
        <is>
          <t>月度变更成功率趋势</t>
        </is>
      </c>
    </row>
    <row r="74" ht="16" customHeight="1">
      <c r="A74" s="8" t="inlineStr">
        <is>
          <t>按分类的变更量与失败数</t>
        </is>
      </c>
    </row>
    <row r="101" ht="10" customHeight="1"/>
    <row r="102" ht="26" customHeight="1">
      <c r="A102" s="9" t="inlineStr">
        <is>
          <t>🤖 AI 洞察分析</t>
        </is>
      </c>
    </row>
    <row r="103" ht="30" customHeight="1">
      <c r="A103" s="10" t="inlineStr">
        <is>
          <t>📌 发现：</t>
        </is>
      </c>
    </row>
    <row r="104" ht="30" customHeight="1">
      <c r="A104" s="15" t="inlineStr">
        <is>
          <t>1.  **变更成功率低于行业优秀实践基准**：本次报告周期内，变更成功率为84.0%，意味着有16.0%（8次）的变更未达到预期。其中，直接导致服务中断或降级的“变更引发事件”占比高达18.0%（9次）。这表明近五分之一的变更活动对服务稳定性构成了直接威胁，是当前运维风险的主要来源。</t>
        </is>
      </c>
    </row>
    <row r="105" ht="30" customHeight="1">
      <c r="A105" s="15" t="inlineStr">
        <is>
          <t>2.  **变更失败与事件发生高度关联**：在总计50次变更中，失败变更（Failed Changes）为5次，但变更引发事件（Change-Induced Incidents）却高达9次。这揭示了一个关键问题：**部分“成功”的变更（即技术执行层面未报错）实际上引入了隐性缺陷或性能问题，最终仍导致了业务事件**。成功率的定义可能存在盲区，未能完全反映变更对业务的实际影响。</t>
        </is>
      </c>
    </row>
    <row r="106" ht="6" customHeight="1"/>
    <row r="107" ht="30" customHeight="1">
      <c r="A107" s="10" t="inlineStr">
        <is>
          <t>🔍 原因：</t>
        </is>
      </c>
    </row>
    <row r="108" ht="30" customHeight="1">
      <c r="A108" s="15" t="inlineStr">
        <is>
          <t>1.  **技术层面：变更前测试与回滚准备不足**：高达18.0%的事件率表明，变更在预生产环境的测试覆盖不充分或场景模拟不真实，未能提前发现兼容性、性能瓶颈或配置错误。同时，事件发生后未能快速回滚（部分事件可能源于“成功”变更），暗示回滚方案要么未准备，要么复杂低效，延长了故障恢复时间（MTTR）。</t>
        </is>
      </c>
    </row>
    <row r="109" ht="30" customHeight="1">
      <c r="A109" s="15" t="inlineStr">
        <is>
          <t>2.  **流程与管理层面：变更评审与风险控制流程失效**：如此高的事件发生率，反映出变更审批（CAB）流程可能流于形式，未能对高风险变更（如核心系统、批量操作）进行充分的风险评估和预案审核。此外，“成功”变更引发事件，说明当前的成功/失败判定标准过于侧重技术执行结果，而忽视了对业务指标（如响应时间、错误率）的基线比对和变更后验证（Post-Implementation Review）。</t>
        </is>
      </c>
    </row>
    <row r="110" ht="30" customHeight="1">
      <c r="A110" s="15" t="inlineStr">
        <is>
          <t>3.  **人员与执行层面：可能存在技能差距或操作不规范**：集中在某些特定应用或系统的重复性变更失败或引发事件，可能指向相关运维或开发团队在特定技术栈上的熟练度不足，或者未严格遵守标准变更操作手册（SOP），导致人为失误。</t>
        </is>
      </c>
    </row>
    <row r="111" ht="6" customHeight="1"/>
    <row r="112" ht="30" customHeight="1">
      <c r="A112" s="10" t="inlineStr">
        <is>
          <t>💡 建议：</t>
        </is>
      </c>
    </row>
    <row r="113" ht="30" customHeight="1">
      <c r="A113" s="15" t="inlineStr">
        <is>
          <t>1.  强化变更后验证（PIR）流程，将业务性能指标比对纳入变更成功的关键判定标准。</t>
        </is>
      </c>
    </row>
    <row r="114" ht="30" customHeight="1">
      <c r="A114" s="15" t="inlineStr">
        <is>
          <t>2.  针对高频或高风险变更类型，实施更严格的模拟测试和强制回滚演练。</t>
        </is>
      </c>
    </row>
    <row r="115" ht="6" customHeight="1"/>
    <row r="116" ht="30" customHeight="1">
      <c r="A116" s="10" t="inlineStr">
        <is>
          <t>📈 预期：将变更引发事件率从18.0%降低至10.0%以下，并提升整体变更成功率至92.0%以上。</t>
        </is>
      </c>
    </row>
    <row r="117" ht="10" customHeight="1"/>
    <row r="118" ht="10" customHeight="1"/>
    <row r="119">
      <c r="A119" s="11" t="inlineStr">
        <is>
          <t>由客户跨流程总览报告生成 • 2026-02-04 13:18</t>
        </is>
      </c>
    </row>
  </sheetData>
  <mergeCells count="22">
    <mergeCell ref="A47:J47"/>
    <mergeCell ref="A5:J5"/>
    <mergeCell ref="A116:J116"/>
    <mergeCell ref="A109:J109"/>
    <mergeCell ref="A4:J4"/>
    <mergeCell ref="A20:J20"/>
    <mergeCell ref="A112:J112"/>
    <mergeCell ref="A19:J19"/>
    <mergeCell ref="A102:J102"/>
    <mergeCell ref="A114:J114"/>
    <mergeCell ref="A11:J11"/>
    <mergeCell ref="A107:J107"/>
    <mergeCell ref="A1:J1"/>
    <mergeCell ref="A103:J103"/>
    <mergeCell ref="A119:J119"/>
    <mergeCell ref="A110:J110"/>
    <mergeCell ref="A108:J108"/>
    <mergeCell ref="A74:J74"/>
    <mergeCell ref="A105:J105"/>
    <mergeCell ref="A113:J113"/>
    <mergeCell ref="A2:J2"/>
    <mergeCell ref="A104:J104"/>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8b5cf6"/>
    <outlinePr summaryBelow="1" summaryRight="1"/>
    <pageSetUpPr fitToPage="1"/>
  </sheetPr>
  <dimension ref="A1:K153"/>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SRQ_请求分析</t>
        </is>
      </c>
    </row>
    <row r="2" ht="22" customHeight="1">
      <c r="A2" s="2" t="inlineStr">
        <is>
          <t>2024-04-19 — 2025-07-06</t>
        </is>
      </c>
    </row>
    <row r="3" ht="10" customHeight="1"/>
    <row r="4" ht="26" customHeight="1">
      <c r="A4" s="3" t="inlineStr">
        <is>
          <t>数据表格</t>
        </is>
      </c>
    </row>
    <row r="5" ht="26" customHeight="1">
      <c r="A5" s="3" t="inlineStr">
        <is>
          <t>请求类型分布</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2" t="n">
        <v>20</v>
      </c>
      <c r="C7" s="5" t="inlineStr">
        <is>
          <t>40.0%</t>
        </is>
      </c>
      <c r="D7" s="5" t="inlineStr">
        <is>
          <t>65.0%</t>
        </is>
      </c>
      <c r="E7" s="5" t="inlineStr">
        <is>
          <t>24.6</t>
        </is>
      </c>
      <c r="F7" s="5" t="inlineStr">
        <is>
          <t>3.77</t>
        </is>
      </c>
    </row>
    <row r="8" ht="18" customHeight="1">
      <c r="A8" s="6" t="inlineStr">
        <is>
          <t>Provisioning</t>
        </is>
      </c>
      <c r="B8" s="13" t="n">
        <v>14</v>
      </c>
      <c r="C8" s="6" t="inlineStr">
        <is>
          <t>28.0%</t>
        </is>
      </c>
      <c r="D8" s="6" t="inlineStr">
        <is>
          <t>64.3%</t>
        </is>
      </c>
      <c r="E8" s="6" t="inlineStr">
        <is>
          <t>45.9</t>
        </is>
      </c>
      <c r="F8" s="6" t="inlineStr">
        <is>
          <t>3.56</t>
        </is>
      </c>
    </row>
    <row r="9" ht="18" customHeight="1">
      <c r="A9" s="5" t="inlineStr">
        <is>
          <t>Standard Change</t>
        </is>
      </c>
      <c r="B9" s="12" t="n">
        <v>7</v>
      </c>
      <c r="C9" s="5" t="inlineStr">
        <is>
          <t>14.0%</t>
        </is>
      </c>
      <c r="D9" s="5" t="inlineStr">
        <is>
          <t>57.1%</t>
        </is>
      </c>
      <c r="E9" s="5" t="inlineStr">
        <is>
          <t>41.2</t>
        </is>
      </c>
      <c r="F9" s="5" t="inlineStr">
        <is>
          <t>3.00</t>
        </is>
      </c>
    </row>
    <row r="10" ht="18" customHeight="1">
      <c r="A10" s="6" t="inlineStr">
        <is>
          <t>Information</t>
        </is>
      </c>
      <c r="B10" s="13" t="n">
        <v>9</v>
      </c>
      <c r="C10" s="6" t="inlineStr">
        <is>
          <t>18.0%</t>
        </is>
      </c>
      <c r="D10" s="6" t="inlineStr">
        <is>
          <t>77.8%</t>
        </is>
      </c>
      <c r="E10" s="6" t="inlineStr">
        <is>
          <t>39.3</t>
        </is>
      </c>
      <c r="F10" s="6" t="inlineStr">
        <is>
          <t>3.71</t>
        </is>
      </c>
    </row>
    <row r="11" ht="10" customHeight="1"/>
    <row r="12" ht="26" customHeight="1">
      <c r="A12" s="3" t="inlineStr">
        <is>
          <t>满意度分布</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2" t="n">
        <v>10</v>
      </c>
      <c r="D14" s="5" t="inlineStr">
        <is>
          <t>30.3%</t>
        </is>
      </c>
      <c r="E14" s="5" t="inlineStr">
        <is>
          <t>30.3%</t>
        </is>
      </c>
    </row>
    <row r="15" ht="18" customHeight="1">
      <c r="A15" s="6" t="inlineStr">
        <is>
          <t>4</t>
        </is>
      </c>
      <c r="B15" s="6" t="inlineStr">
        <is>
          <t>Satisfied</t>
        </is>
      </c>
      <c r="C15" s="13" t="n">
        <v>9</v>
      </c>
      <c r="D15" s="6" t="inlineStr">
        <is>
          <t>27.3%</t>
        </is>
      </c>
      <c r="E15" s="6" t="inlineStr">
        <is>
          <t>57.6%</t>
        </is>
      </c>
    </row>
    <row r="16" ht="18" customHeight="1">
      <c r="A16" s="5" t="inlineStr">
        <is>
          <t>3</t>
        </is>
      </c>
      <c r="B16" s="5" t="inlineStr">
        <is>
          <t>Neutral</t>
        </is>
      </c>
      <c r="C16" s="12" t="n">
        <v>7</v>
      </c>
      <c r="D16" s="5" t="inlineStr">
        <is>
          <t>21.2%</t>
        </is>
      </c>
      <c r="E16" s="5" t="inlineStr">
        <is>
          <t>78.8%</t>
        </is>
      </c>
    </row>
    <row r="17" ht="18" customHeight="1">
      <c r="A17" s="6" t="inlineStr">
        <is>
          <t>2</t>
        </is>
      </c>
      <c r="B17" s="6" t="inlineStr">
        <is>
          <t>Dissatisfied</t>
        </is>
      </c>
      <c r="C17" s="13" t="n">
        <v>5</v>
      </c>
      <c r="D17" s="6" t="inlineStr">
        <is>
          <t>15.2%</t>
        </is>
      </c>
      <c r="E17" s="6" t="inlineStr">
        <is>
          <t>93.9%</t>
        </is>
      </c>
    </row>
    <row r="18" ht="18" customHeight="1">
      <c r="A18" s="5" t="inlineStr">
        <is>
          <t>1</t>
        </is>
      </c>
      <c r="B18" s="5" t="inlineStr">
        <is>
          <t>Very Dissatisfied</t>
        </is>
      </c>
      <c r="C18" s="12" t="n">
        <v>2</v>
      </c>
      <c r="D18" s="5" t="inlineStr">
        <is>
          <t>6.1%</t>
        </is>
      </c>
      <c r="E18" s="5" t="inlineStr">
        <is>
          <t>100.0%</t>
        </is>
      </c>
    </row>
    <row r="19" ht="10" customHeight="1"/>
    <row r="20" ht="26" customHeight="1">
      <c r="A20" s="3" t="inlineStr">
        <is>
          <t>可视化分析</t>
        </is>
      </c>
    </row>
    <row r="21" ht="16" customHeight="1">
      <c r="A21" s="8" t="inlineStr">
        <is>
          <t>按类型分布的请求</t>
        </is>
      </c>
    </row>
    <row r="48" ht="16" customHeight="1">
      <c r="A48" s="8" t="inlineStr">
        <is>
          <t>客户满意度评分分布</t>
        </is>
      </c>
    </row>
    <row r="75" ht="16" customHeight="1">
      <c r="A75" s="8" t="inlineStr">
        <is>
          <t>月度请求量与平均满意度</t>
        </is>
      </c>
    </row>
    <row r="102" ht="16" customHeight="1">
      <c r="A102" s="8" t="inlineStr">
        <is>
          <t>按请求类型的完成时间统计</t>
        </is>
      </c>
    </row>
    <row r="129">
      <c r="A129" s="14" t="inlineStr">
        <is>
          <t>请求类型×部门热力图</t>
        </is>
      </c>
    </row>
    <row r="130">
      <c r="A130" t="inlineStr">
        <is>
          <t>请求类型</t>
        </is>
      </c>
      <c r="B130" t="inlineStr">
        <is>
          <t>Billing</t>
        </is>
      </c>
      <c r="C130" t="inlineStr">
        <is>
          <t>Customer Service</t>
        </is>
      </c>
      <c r="D130" t="inlineStr">
        <is>
          <t>Finance</t>
        </is>
      </c>
      <c r="E130" t="inlineStr">
        <is>
          <t>HR</t>
        </is>
      </c>
      <c r="F130" t="inlineStr">
        <is>
          <t>Marketing</t>
        </is>
      </c>
      <c r="G130" t="inlineStr">
        <is>
          <t>Network Operations</t>
        </is>
      </c>
      <c r="H130" t="inlineStr">
        <is>
          <t>Operations</t>
        </is>
      </c>
      <c r="I130" t="inlineStr">
        <is>
          <t>Product Management</t>
        </is>
      </c>
      <c r="J130" t="inlineStr">
        <is>
          <t>Sales</t>
        </is>
      </c>
      <c r="K130" t="inlineStr">
        <is>
          <t>Technical Support</t>
        </is>
      </c>
    </row>
    <row r="131">
      <c r="A131" t="inlineStr">
        <is>
          <t>Access</t>
        </is>
      </c>
      <c r="B131" t="n">
        <v>2</v>
      </c>
      <c r="C131" t="n">
        <v>0</v>
      </c>
      <c r="D131" t="n">
        <v>4</v>
      </c>
      <c r="E131" t="n">
        <v>3</v>
      </c>
      <c r="F131" t="n">
        <v>1</v>
      </c>
      <c r="G131" t="n">
        <v>4</v>
      </c>
      <c r="H131" t="n">
        <v>2</v>
      </c>
      <c r="I131" t="n">
        <v>4</v>
      </c>
      <c r="J131" t="n">
        <v>0</v>
      </c>
      <c r="K131" t="n">
        <v>0</v>
      </c>
    </row>
    <row r="132">
      <c r="A132" t="inlineStr">
        <is>
          <t>Information</t>
        </is>
      </c>
      <c r="B132" t="n">
        <v>1</v>
      </c>
      <c r="C132" t="n">
        <v>0</v>
      </c>
      <c r="D132" t="n">
        <v>0</v>
      </c>
      <c r="E132" t="n">
        <v>0</v>
      </c>
      <c r="F132" t="n">
        <v>1</v>
      </c>
      <c r="G132" t="n">
        <v>0</v>
      </c>
      <c r="H132" t="n">
        <v>2</v>
      </c>
      <c r="I132" t="n">
        <v>2</v>
      </c>
      <c r="J132" t="n">
        <v>2</v>
      </c>
      <c r="K132" t="n">
        <v>1</v>
      </c>
    </row>
    <row r="133">
      <c r="A133" t="inlineStr">
        <is>
          <t>Provisioning</t>
        </is>
      </c>
      <c r="B133" t="n">
        <v>1</v>
      </c>
      <c r="C133" t="n">
        <v>3</v>
      </c>
      <c r="D133" t="n">
        <v>2</v>
      </c>
      <c r="E133" t="n">
        <v>0</v>
      </c>
      <c r="F133" t="n">
        <v>2</v>
      </c>
      <c r="G133" t="n">
        <v>1</v>
      </c>
      <c r="H133" t="n">
        <v>1</v>
      </c>
      <c r="I133" t="n">
        <v>1</v>
      </c>
      <c r="J133" t="n">
        <v>2</v>
      </c>
      <c r="K133" t="n">
        <v>1</v>
      </c>
    </row>
    <row r="134">
      <c r="A134" t="inlineStr">
        <is>
          <t>Standard Change</t>
        </is>
      </c>
      <c r="B134" t="n">
        <v>1</v>
      </c>
      <c r="C134" t="n">
        <v>0</v>
      </c>
      <c r="D134" t="n">
        <v>0</v>
      </c>
      <c r="E134" t="n">
        <v>0</v>
      </c>
      <c r="F134" t="n">
        <v>0</v>
      </c>
      <c r="G134" t="n">
        <v>1</v>
      </c>
      <c r="H134" t="n">
        <v>1</v>
      </c>
      <c r="I134" t="n">
        <v>1</v>
      </c>
      <c r="J134" t="n">
        <v>3</v>
      </c>
      <c r="K134" t="n">
        <v>0</v>
      </c>
    </row>
    <row r="136" ht="10" customHeight="1"/>
    <row r="137" ht="26" customHeight="1">
      <c r="A137" s="9" t="inlineStr">
        <is>
          <t>🤖 AI 洞察分析</t>
        </is>
      </c>
    </row>
    <row r="138" ht="30" customHeight="1">
      <c r="A138" s="10" t="inlineStr">
        <is>
          <t>📌 发现：</t>
        </is>
      </c>
    </row>
    <row r="139" ht="30" customHeight="1">
      <c r="A139" s="15" t="inlineStr">
        <is>
          <t>1.  **客户满意度处于临界水平**：当前CSAT评分为3.61分（满分5分），换算为百分制仅为72.2%。这表明服务体验仅达到“基本满意”水平，距离“满意”（通常认为4分/80%以上）尚有明显差距，存在客户体验下滑和声誉受损的风险。</t>
        </is>
      </c>
    </row>
    <row r="140" ht="30" customHeight="1">
      <c r="A140" s="15" t="inlineStr">
        <is>
          <t>2.  **服务交付可靠性亟待提升**：服务请求的SLA达成率仅为75.8%，意味着近四分之一（24.2%）的请求未能在承诺的时限内完成。这不仅直接影响客户满意度，也暴露出服务交付流程或资源配置存在系统性瓶颈。</t>
        </is>
      </c>
    </row>
    <row r="141" ht="6" customHeight="1"/>
    <row r="142" ht="30" customHeight="1">
      <c r="A142" s="10" t="inlineStr">
        <is>
          <t>🔍 原因：</t>
        </is>
      </c>
    </row>
    <row r="143" ht="30" customHeight="1">
      <c r="A143" s="15" t="inlineStr">
        <is>
          <t>1.  **流程与技术瓶颈导致SLA达成率低**：75.8%的SLA达成率是核心短板。从“技术”维度看，可能由于工单分派系统效率低下、关键知识库缺失或自动化工具不足，导致一线工程师处理效率不高。从“流程”维度看，可能缺乏清晰的升级路径、优先级划分规则模糊，或问题解决流程冗长，使得复杂或高优先级请求被延误。具体数据上，**24.2%的未达标请求**是直接证据，需要进一步分析这些请求的类别、处理时长和卡点环节。</t>
        </is>
      </c>
    </row>
    <row r="144" ht="30" customHeight="1">
      <c r="A144" s="15" t="inlineStr">
        <is>
          <t>2.  **服务质量与客户期望不匹配拉低CSAT**：3.61的CSAT评分是结果性指标。其根因与SLA达成率低直接相关（**未达SLA的请求很可能获得低分评价**）。从“人”的维度看，工程师可能因工作量过大或技能不足，在沟通或问题解决深度上未能满足客户期望。从“管理”维度看，可能缺乏对客户反馈（尤其是低分评价）的实时监控和闭环跟进机制，导致共性问题重复发生。**72.2%的满意度换算值**与**75.8%的SLA率**趋势基本吻合，共同指向服务交付的稳定性和质量一致性存在问题。</t>
        </is>
      </c>
    </row>
    <row r="145" ht="6" customHeight="1"/>
    <row r="146" ht="30" customHeight="1">
      <c r="A146" s="10" t="inlineStr">
        <is>
          <t>💡 建议：</t>
        </is>
      </c>
    </row>
    <row r="147" ht="30" customHeight="1">
      <c r="A147" s="15" t="inlineStr">
        <is>
          <t>1.  立即启动对未达SLA的24.2%请求进行根本原因分析（RCA），并优化工单分派与优先级处理流程。</t>
        </is>
      </c>
    </row>
    <row r="148" ht="30" customHeight="1">
      <c r="A148" s="15" t="inlineStr">
        <is>
          <t>2.  建立CSAT低分告警与主动回访机制，将客户反馈直接关联至服务改进项。</t>
        </is>
      </c>
    </row>
    <row r="149" ht="6" customHeight="1"/>
    <row r="150" ht="30" customHeight="1">
      <c r="A150" s="10" t="inlineStr">
        <is>
          <t>📈 预期：预计在下一报告周期内，将SLA达成率提升至85%以上，CSAT评分提升至3.9分（78%）以上。</t>
        </is>
      </c>
    </row>
    <row r="151" ht="10" customHeight="1"/>
    <row r="152" ht="10" customHeight="1"/>
    <row r="153">
      <c r="A153" s="11" t="inlineStr">
        <is>
          <t>由客户跨流程总览报告生成 • 2026-02-04 13:18</t>
        </is>
      </c>
    </row>
  </sheetData>
  <mergeCells count="22">
    <mergeCell ref="A5:J5"/>
    <mergeCell ref="A150:J150"/>
    <mergeCell ref="A144:J144"/>
    <mergeCell ref="A140:J140"/>
    <mergeCell ref="A4:J4"/>
    <mergeCell ref="A20:J20"/>
    <mergeCell ref="A147:J147"/>
    <mergeCell ref="A102:J102"/>
    <mergeCell ref="A143:J143"/>
    <mergeCell ref="A148:J148"/>
    <mergeCell ref="A48:J48"/>
    <mergeCell ref="A142:J142"/>
    <mergeCell ref="A138:J138"/>
    <mergeCell ref="A1:J1"/>
    <mergeCell ref="A146:J146"/>
    <mergeCell ref="A153:J153"/>
    <mergeCell ref="A137:J137"/>
    <mergeCell ref="A75:J75"/>
    <mergeCell ref="A139:J139"/>
    <mergeCell ref="A21:J21"/>
    <mergeCell ref="A12:J12"/>
    <mergeCell ref="A2:J2"/>
  </mergeCells>
  <conditionalFormatting sqref="B131:K134">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eab308"/>
    <outlinePr summaryBelow="1" summaryRight="1"/>
    <pageSetUpPr fitToPage="1"/>
  </sheetPr>
  <dimension ref="A1:J123"/>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PRO_问题分析</t>
        </is>
      </c>
    </row>
    <row r="2" ht="22" customHeight="1">
      <c r="A2" s="2" t="inlineStr">
        <is>
          <t>2024-04-19 — 2025-07-06</t>
        </is>
      </c>
    </row>
    <row r="3" ht="10" customHeight="1"/>
    <row r="4" ht="26" customHeight="1">
      <c r="A4" s="3" t="inlineStr">
        <is>
          <t>数据表格</t>
        </is>
      </c>
    </row>
    <row r="5" ht="26" customHeight="1">
      <c r="A5" s="3" t="inlineStr">
        <is>
          <t>问题状态</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2" t="n">
        <v>14</v>
      </c>
      <c r="C7" s="5" t="inlineStr">
        <is>
          <t>28.0%</t>
        </is>
      </c>
      <c r="D7" s="5" t="inlineStr">
        <is>
          <t>416</t>
        </is>
      </c>
      <c r="E7" s="5" t="inlineStr">
        <is>
          <t>Prioritize permanent fix implementation</t>
        </is>
      </c>
    </row>
    <row r="8" ht="18" customHeight="1">
      <c r="A8" s="6" t="inlineStr">
        <is>
          <t>Resolved</t>
        </is>
      </c>
      <c r="B8" s="13" t="n">
        <v>16</v>
      </c>
      <c r="C8" s="6" t="inlineStr">
        <is>
          <t>32.0%</t>
        </is>
      </c>
      <c r="D8" s="6" t="inlineStr">
        <is>
          <t>412</t>
        </is>
      </c>
      <c r="E8" s="6" t="inlineStr">
        <is>
          <t>Verify fix effectiveness</t>
        </is>
      </c>
    </row>
    <row r="9" ht="18" customHeight="1">
      <c r="A9" s="5" t="inlineStr">
        <is>
          <t>Closed</t>
        </is>
      </c>
      <c r="B9" s="12" t="n">
        <v>8</v>
      </c>
      <c r="C9" s="5" t="inlineStr">
        <is>
          <t>16.0%</t>
        </is>
      </c>
      <c r="D9" s="5" t="inlineStr">
        <is>
          <t>415</t>
        </is>
      </c>
      <c r="E9" s="5" t="inlineStr">
        <is>
          <t>Archive and update knowledge base</t>
        </is>
      </c>
    </row>
    <row r="10" ht="18" customHeight="1">
      <c r="A10" s="6" t="inlineStr">
        <is>
          <t>Under Investigation</t>
        </is>
      </c>
      <c r="B10" s="13" t="n">
        <v>10</v>
      </c>
      <c r="C10" s="6" t="inlineStr">
        <is>
          <t>20.0%</t>
        </is>
      </c>
      <c r="D10" s="6" t="inlineStr">
        <is>
          <t>410</t>
        </is>
      </c>
      <c r="E10" s="6" t="inlineStr">
        <is>
          <t>Review and update status</t>
        </is>
      </c>
    </row>
    <row r="11" ht="18" customHeight="1">
      <c r="A11" s="5" t="inlineStr">
        <is>
          <t>New</t>
        </is>
      </c>
      <c r="B11" s="12" t="n">
        <v>2</v>
      </c>
      <c r="C11" s="5" t="inlineStr">
        <is>
          <t>4.0%</t>
        </is>
      </c>
      <c r="D11" s="5" t="inlineStr">
        <is>
          <t>416</t>
        </is>
      </c>
      <c r="E11" s="5" t="inlineStr">
        <is>
          <t>Review and update status</t>
        </is>
      </c>
    </row>
    <row r="12" ht="10" customHeight="1"/>
    <row r="13" ht="26" customHeight="1">
      <c r="A13" s="3" t="inlineStr">
        <is>
          <t>根因分类</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2" t="n">
        <v>15</v>
      </c>
      <c r="C15" s="5" t="inlineStr">
        <is>
          <t>30.0%</t>
        </is>
      </c>
      <c r="D15" s="12" t="n">
        <v>15</v>
      </c>
      <c r="E15" s="5" t="inlineStr">
        <is>
          <t>53.3%</t>
        </is>
      </c>
      <c r="F15" s="5" t="inlineStr">
        <is>
          <t>SMS notification delivery delays</t>
        </is>
      </c>
    </row>
    <row r="16" ht="18" customHeight="1">
      <c r="A16" s="6" t="inlineStr">
        <is>
          <t>Process Gap</t>
        </is>
      </c>
      <c r="B16" s="13" t="n">
        <v>8</v>
      </c>
      <c r="C16" s="6" t="inlineStr">
        <is>
          <t>16.0%</t>
        </is>
      </c>
      <c r="D16" s="13" t="n">
        <v>8</v>
      </c>
      <c r="E16" s="6" t="inlineStr">
        <is>
          <t>37.5%</t>
        </is>
      </c>
      <c r="F16" s="6" t="inlineStr">
        <is>
          <t>Web portal CSS rendering issues on mobile</t>
        </is>
      </c>
    </row>
    <row r="17" ht="18" customHeight="1">
      <c r="A17" s="5" t="inlineStr">
        <is>
          <t>Vendor Issue</t>
        </is>
      </c>
      <c r="B17" s="12" t="n">
        <v>11</v>
      </c>
      <c r="C17" s="5" t="inlineStr">
        <is>
          <t>22.0%</t>
        </is>
      </c>
      <c r="D17" s="12" t="n">
        <v>11</v>
      </c>
      <c r="E17" s="5" t="inlineStr">
        <is>
          <t>27.3%</t>
        </is>
      </c>
      <c r="F17" s="5" t="inlineStr">
        <is>
          <t>Payment gateway timeout for credit card transactions</t>
        </is>
      </c>
    </row>
    <row r="18" ht="18" customHeight="1">
      <c r="A18" s="6" t="inlineStr">
        <is>
          <t>Human Error</t>
        </is>
      </c>
      <c r="B18" s="13" t="n">
        <v>13</v>
      </c>
      <c r="C18" s="6" t="inlineStr">
        <is>
          <t>26.0%</t>
        </is>
      </c>
      <c r="D18" s="13" t="n">
        <v>13</v>
      </c>
      <c r="E18" s="6" t="inlineStr">
        <is>
          <t>23.1%</t>
        </is>
      </c>
      <c r="F18" s="6" t="inlineStr">
        <is>
          <t>Notification service message queue overflow</t>
        </is>
      </c>
    </row>
    <row r="19" ht="18" customHeight="1">
      <c r="A19" s="5" t="inlineStr">
        <is>
          <t>Unknown</t>
        </is>
      </c>
      <c r="B19" s="12" t="n">
        <v>3</v>
      </c>
      <c r="C19" s="5" t="inlineStr">
        <is>
          <t>6.0%</t>
        </is>
      </c>
      <c r="D19" s="12" t="n">
        <v>3</v>
      </c>
      <c r="E19" s="5" t="inlineStr">
        <is>
          <t>0.0%</t>
        </is>
      </c>
      <c r="F19" s="5" t="inlineStr">
        <is>
          <t>Intermittent billing calculation discrepancy</t>
        </is>
      </c>
    </row>
    <row r="20" ht="10" customHeight="1"/>
    <row r="21" ht="26" customHeight="1">
      <c r="A21" s="3" t="inlineStr">
        <is>
          <t>可视化分析</t>
        </is>
      </c>
    </row>
    <row r="22" ht="16" customHeight="1">
      <c r="A22" s="8" t="inlineStr">
        <is>
          <t>问题状态漏斗分布</t>
        </is>
      </c>
    </row>
    <row r="49" ht="16" customHeight="1">
      <c r="A49" s="8" t="inlineStr">
        <is>
          <t>根因分类分布</t>
        </is>
      </c>
    </row>
    <row r="76" ht="16" customHeight="1">
      <c r="A76" s="8" t="inlineStr">
        <is>
          <t>月度问题量与累计趋势</t>
        </is>
      </c>
    </row>
    <row r="103" ht="10" customHeight="1"/>
    <row r="104" ht="26" customHeight="1">
      <c r="A104" s="9" t="inlineStr">
        <is>
          <t>🤖 AI 洞察分析</t>
        </is>
      </c>
    </row>
    <row r="105" ht="30" customHeight="1">
      <c r="A105" s="10" t="inlineStr">
        <is>
          <t>📌 发现：</t>
        </is>
      </c>
    </row>
    <row r="106" ht="30" customHeight="1">
      <c r="A106" s="15" t="inlineStr">
        <is>
          <t>1.  **问题解决效率存在瓶颈**：问题关闭率仅为48.0%，意味着超过一半（52.0%）的问题未能得到有效关闭。这表明问题从提出到解决的流程存在显著延迟或阻塞，影响了整体服务恢复速度。</t>
        </is>
      </c>
    </row>
    <row r="107" ht="30" customHeight="1">
      <c r="A107" s="15" t="inlineStr">
        <is>
          <t>2.  **根因分析执行率高但未有效转化为解决率**：根因分析（RCA）率高达96.0%，说明绝大多数问题都进行了初步分析。然而，这与48.0%的关闭率形成了巨大反差，表明根因分析的质量或后续的解决方案制定与执行环节存在脱节，分析未能有效驱动问题解决。</t>
        </is>
      </c>
    </row>
    <row r="108" ht="6" customHeight="1"/>
    <row r="109" ht="30" customHeight="1">
      <c r="A109" s="10" t="inlineStr">
        <is>
          <t>🔍 原因：</t>
        </is>
      </c>
    </row>
    <row r="110" ht="30" customHeight="1">
      <c r="A110" s="15" t="inlineStr">
        <is>
          <t>从数据驱动的多维度分析来看：</t>
        </is>
      </c>
    </row>
    <row r="111" ht="30" customHeight="1">
      <c r="A111" s="15" t="inlineStr">
        <is>
          <t>-   **流程维度**：高RCA率（96.0%）与低关闭率（48.0%）的剪刀差，是核心矛盾点。这强烈暗示问题管理流程在“分析”与“解决”阶段之间存在断层。可能的原因包括：1）RCA流程形式化，分析深度不足，未能识别出真正的、可执行的解决方案；2）解决方案制定后，缺乏有效的任务分派、跟踪和闭环机制，导致行动项悬置。</t>
        </is>
      </c>
    </row>
    <row r="112" ht="30" customHeight="1">
      <c r="A112" s="15" t="inlineStr">
        <is>
          <t>-   **技术与数据维度**：虽然进行了大量RCA，但可能缺乏统一、结构化的分析工具或知识库来沉淀有效的解决方案，导致相似问题重复分析但无法快速套用历史方案，拖慢解决速度。当前有5个开放问题，可能正是这类“疑难杂症”或“行动项未落实”问题的体现。</t>
        </is>
      </c>
    </row>
    <row r="113" ht="30" customHeight="1">
      <c r="A113" s="15" t="inlineStr">
        <is>
          <t>-   **管理与人员维度**：问题关闭的责任可能不明确或优先级不高。团队可能更侧重于“分析清楚”而非“推动解决”，缺乏对问题解决全生命周期的端到端问责和考核机制。</t>
        </is>
      </c>
    </row>
    <row r="114" ht="6" customHeight="1"/>
    <row r="115" ht="30" customHeight="1">
      <c r="A115" s="10" t="inlineStr">
        <is>
          <t>💡 建议：</t>
        </is>
      </c>
    </row>
    <row r="116" ht="30" customHeight="1">
      <c r="A116" s="15" t="inlineStr">
        <is>
          <t>1.  强化问题管理流程的闭环机制，在RCA后强制关联具体的行动项、负责人和解决时限，并纳入统一跟踪。</t>
        </is>
      </c>
    </row>
    <row r="117" ht="30" customHeight="1">
      <c r="A117" s="15" t="inlineStr">
        <is>
          <t>2.  建立并推广基于历史问题解决方案的知识库，提升重复性问题的处理效率。</t>
        </is>
      </c>
    </row>
    <row r="118" ht="6" customHeight="1"/>
    <row r="119" ht="30" customHeight="1">
      <c r="A119" s="10" t="inlineStr">
        <is>
          <t>📈 预期：</t>
        </is>
      </c>
    </row>
    <row r="120" ht="30" customHeight="1">
      <c r="A120" s="15" t="inlineStr">
        <is>
          <t>通过流程强化，预计问题关闭率可在下一周期提升至65.0%以上。</t>
        </is>
      </c>
    </row>
    <row r="121" ht="10" customHeight="1"/>
    <row r="122" ht="10" customHeight="1"/>
    <row r="123">
      <c r="A123" s="11" t="inlineStr">
        <is>
          <t>由客户跨流程总览报告生成 • 2026-02-04 13:18</t>
        </is>
      </c>
    </row>
  </sheetData>
  <mergeCells count="24">
    <mergeCell ref="A116:J116"/>
    <mergeCell ref="A5:J5"/>
    <mergeCell ref="A22:J22"/>
    <mergeCell ref="A106:J106"/>
    <mergeCell ref="A109:J109"/>
    <mergeCell ref="A4:J4"/>
    <mergeCell ref="A112:J112"/>
    <mergeCell ref="A13:J13"/>
    <mergeCell ref="A115:J115"/>
    <mergeCell ref="A117:J117"/>
    <mergeCell ref="A111:J111"/>
    <mergeCell ref="A49:J49"/>
    <mergeCell ref="A107:J107"/>
    <mergeCell ref="A1:J1"/>
    <mergeCell ref="A123:J123"/>
    <mergeCell ref="A119:J119"/>
    <mergeCell ref="A110:J110"/>
    <mergeCell ref="A120:J120"/>
    <mergeCell ref="A21:J21"/>
    <mergeCell ref="A105:J105"/>
    <mergeCell ref="A113:J113"/>
    <mergeCell ref="A2:J2"/>
    <mergeCell ref="A104:J104"/>
    <mergeCell ref="A76:J76"/>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06b6d4"/>
    <outlinePr summaryBelow="1" summaryRight="1"/>
    <pageSetUpPr fitToPage="1"/>
  </sheetPr>
  <dimension ref="A1:J64"/>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CRO_跨流程关联</t>
        </is>
      </c>
    </row>
    <row r="2" ht="22" customHeight="1">
      <c r="A2" s="2" t="inlineStr">
        <is>
          <t>2024-04-19 — 2025-07-06</t>
        </is>
      </c>
    </row>
    <row r="3" ht="10" customHeight="1"/>
    <row r="4" ht="26" customHeight="1">
      <c r="A4" s="3" t="inlineStr">
        <is>
          <t>数据表格</t>
        </is>
      </c>
    </row>
    <row r="5" ht="26" customHeight="1">
      <c r="A5" s="3" t="inlineStr">
        <is>
          <t>变更→事件关联</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2" t="n">
        <v>1</v>
      </c>
      <c r="D7" s="5" t="inlineStr">
        <is>
          <t>INC20250104754</t>
        </is>
      </c>
      <c r="E7" s="5" t="inlineStr">
        <is>
          <t>Medium</t>
        </is>
      </c>
    </row>
    <row r="8" ht="18" customHeight="1">
      <c r="A8" s="6" t="inlineStr">
        <is>
          <t>CHG20250100012</t>
        </is>
      </c>
      <c r="B8" s="6" t="inlineStr">
        <is>
          <t>Change</t>
        </is>
      </c>
      <c r="C8" s="13" t="n">
        <v>1</v>
      </c>
      <c r="D8" s="6" t="inlineStr">
        <is>
          <t>INC20250102030</t>
        </is>
      </c>
      <c r="E8" s="6" t="inlineStr">
        <is>
          <t>Medium</t>
        </is>
      </c>
    </row>
    <row r="9" ht="18" customHeight="1">
      <c r="A9" s="5" t="inlineStr">
        <is>
          <t>CHG20250100014</t>
        </is>
      </c>
      <c r="B9" s="5" t="inlineStr">
        <is>
          <t>Change</t>
        </is>
      </c>
      <c r="C9" s="12" t="n">
        <v>1</v>
      </c>
      <c r="D9" s="5" t="inlineStr">
        <is>
          <t>INC20250119034</t>
        </is>
      </c>
      <c r="E9" s="5" t="inlineStr">
        <is>
          <t>Medium</t>
        </is>
      </c>
    </row>
    <row r="10" ht="18" customHeight="1">
      <c r="A10" s="6" t="inlineStr">
        <is>
          <t>CHG20250100042</t>
        </is>
      </c>
      <c r="B10" s="6" t="inlineStr">
        <is>
          <t>Change</t>
        </is>
      </c>
      <c r="C10" s="13" t="n">
        <v>1</v>
      </c>
      <c r="D10" s="6" t="inlineStr">
        <is>
          <t>INC20250102787</t>
        </is>
      </c>
      <c r="E10" s="6" t="inlineStr">
        <is>
          <t>Medium</t>
        </is>
      </c>
    </row>
    <row r="11" ht="18" customHeight="1">
      <c r="A11" s="5" t="inlineStr">
        <is>
          <t>CHG20250100043</t>
        </is>
      </c>
      <c r="B11" s="5" t="inlineStr">
        <is>
          <t>Change</t>
        </is>
      </c>
      <c r="C11" s="12" t="n">
        <v>1</v>
      </c>
      <c r="D11" s="5" t="inlineStr">
        <is>
          <t>INC20250102757</t>
        </is>
      </c>
      <c r="E11" s="5" t="inlineStr">
        <is>
          <t>Medium</t>
        </is>
      </c>
    </row>
    <row r="12" ht="18" customHeight="1">
      <c r="A12" s="6" t="inlineStr">
        <is>
          <t>CHG20250100045</t>
        </is>
      </c>
      <c r="B12" s="6" t="inlineStr">
        <is>
          <t>Change</t>
        </is>
      </c>
      <c r="C12" s="13" t="n">
        <v>1</v>
      </c>
      <c r="D12" s="6" t="inlineStr">
        <is>
          <t>INC20250110441</t>
        </is>
      </c>
      <c r="E12" s="6" t="inlineStr">
        <is>
          <t>Medium</t>
        </is>
      </c>
    </row>
    <row r="13" ht="18" customHeight="1">
      <c r="A13" s="5" t="inlineStr">
        <is>
          <t>CHG20250100046</t>
        </is>
      </c>
      <c r="B13" s="5" t="inlineStr">
        <is>
          <t>Change</t>
        </is>
      </c>
      <c r="C13" s="12" t="n">
        <v>1</v>
      </c>
      <c r="D13" s="5" t="inlineStr">
        <is>
          <t>INC20250106437</t>
        </is>
      </c>
      <c r="E13" s="5" t="inlineStr">
        <is>
          <t>Medium</t>
        </is>
      </c>
    </row>
    <row r="14" ht="18" customHeight="1">
      <c r="A14" s="6" t="inlineStr">
        <is>
          <t>CHG20250100047</t>
        </is>
      </c>
      <c r="B14" s="6" t="inlineStr">
        <is>
          <t>Change</t>
        </is>
      </c>
      <c r="C14" s="13" t="n">
        <v>1</v>
      </c>
      <c r="D14" s="6" t="inlineStr">
        <is>
          <t>INC20250108502</t>
        </is>
      </c>
      <c r="E14" s="6" t="inlineStr">
        <is>
          <t>Medium</t>
        </is>
      </c>
    </row>
    <row r="15" ht="18" customHeight="1">
      <c r="A15" s="5" t="inlineStr">
        <is>
          <t>CHG20250100049</t>
        </is>
      </c>
      <c r="B15" s="5" t="inlineStr">
        <is>
          <t>Change</t>
        </is>
      </c>
      <c r="C15" s="12" t="n">
        <v>1</v>
      </c>
      <c r="D15" s="5" t="inlineStr">
        <is>
          <t>INC20250118780</t>
        </is>
      </c>
      <c r="E15" s="5" t="inlineStr">
        <is>
          <t>Medium</t>
        </is>
      </c>
    </row>
    <row r="16" ht="10" customHeight="1"/>
    <row r="17" ht="26" customHeight="1">
      <c r="A17" s="3" t="inlineStr">
        <is>
          <t>可视化分析</t>
        </is>
      </c>
    </row>
    <row r="18" ht="16" customHeight="1">
      <c r="A18" s="8" t="inlineStr">
        <is>
          <t>跨流程关联: 变更导致的事件</t>
        </is>
      </c>
    </row>
    <row r="45" ht="10" customHeight="1"/>
    <row r="46" ht="26" customHeight="1">
      <c r="A46" s="9" t="inlineStr">
        <is>
          <t>🤖 AI 洞察分析</t>
        </is>
      </c>
    </row>
    <row r="47" ht="30" customHeight="1">
      <c r="A47" s="10" t="inlineStr">
        <is>
          <t>📌 发现：</t>
        </is>
      </c>
    </row>
    <row r="48" ht="30" customHeight="1">
      <c r="A48" s="15" t="inlineStr">
        <is>
          <t>1.  **服务健康度严重偏低，风险高度集中**：服务健康评分仅为33/100，处于“风险”状态，表明整体服务交付与运营质量堪忧。与此同时，系统识别出5项顶级风险，风险数量与事件总量（8977）形成鲜明对比，说明大量事件可能由少数几个深层次、高影响的风险点反复触发，风险管控失效。</t>
        </is>
      </c>
    </row>
    <row r="49" ht="30" customHeight="1">
      <c r="A49" s="15" t="inlineStr">
        <is>
          <t>2.  **事件管理流程负荷异常沉重，与其他流程体量严重失衡**：事件总数（8977）远超变更（50）、服务请求（50）和问题（50）的数量，比例极为悬殊（约180:1）。这表明IT运营长期处于“救火”模式，大量资源被重复性故障处理占用，而用于根除故障（问题管理）和有序演进（变更管理）的投入严重不足，流程间协同脱节。</t>
        </is>
      </c>
    </row>
    <row r="50" ht="6" customHeight="1"/>
    <row r="51" ht="30" customHeight="1">
      <c r="A51" s="10" t="inlineStr">
        <is>
          <t>🔍 原因：</t>
        </is>
      </c>
    </row>
    <row r="52" ht="30" customHeight="1">
      <c r="A52" s="15" t="inlineStr">
        <is>
          <t>1.  **技术与管理层面**：**问题管理流程未能有效运作**。问题记录仅50条，与8977条事件记录极不匹配。根据ITIL最佳实践，大量重复或重大事件应触发问题记录以进行根因分析。当前数据表明，要么是事件分类与问题触发机制缺失，要么是问题管理流程被搁置或流于形式，导致相同根因的故障反复发生，推高了事件数量，这是健康评分低的核心技术性原因。</t>
        </is>
      </c>
    </row>
    <row r="53" ht="30" customHeight="1">
      <c r="A53" s="15" t="inlineStr">
        <is>
          <t>2.  **流程与人员层面**：**变更管理与服务请求管理可能未能有效前置过滤和预防事件**。变更和请求数量各仅为50次，在一个产生近9000起事件的环境中显得过低。这可能意味着：① 许多变更未通过正式流程（即存在大量未授权变更），直接导致了生产环境不稳定和事件激增；② 服务请求未能标准化和自动化，许多简单需求（如密码重置）可能仍通过事件渠道上报，混淆了事件定义，虚增了事件数量。同时，运维团队精力被海量事件淹没，无暇进行有效的变更评估、问题分析和请求自动化建设，形成恶性循环。</t>
        </is>
      </c>
    </row>
    <row r="54" ht="30" customHeight="1">
      <c r="A54" s="15" t="inlineStr">
        <is>
          <t>3.  **数据关联分析**：从“事件:问题 ≈ 180:1”的比率看，**问题识别率不足0.6%**，远低于健康运营环境的标准（通常重大事件应100%关联问题）。这直接证实了“重应急响应、轻根因治理”的运营模式。5项顶级风险长期存在且未被问题管理流程有效跟踪和消除，是导致事件洪流的直接驱动力。</t>
        </is>
      </c>
    </row>
    <row r="55" ht="6" customHeight="1"/>
    <row r="56" ht="30" customHeight="1">
      <c r="A56" s="10" t="inlineStr">
        <is>
          <t>💡 建议：</t>
        </is>
      </c>
    </row>
    <row r="57" ht="30" customHeight="1">
      <c r="A57" s="15" t="inlineStr">
        <is>
          <t>1.  立即启动“事件-问题关联强化”专项，强制要求所有重大和重复事件必须关联问题记录，并跟踪至解决。</t>
        </is>
      </c>
    </row>
    <row r="58" ht="30" customHeight="1">
      <c r="A58" s="15" t="inlineStr">
        <is>
          <t>2.  审查并收紧变更管理策略，对所有生产环境变更进行审计，并推动服务请求的标准化与自动化。</t>
        </is>
      </c>
    </row>
    <row r="59" ht="6" customHeight="1"/>
    <row r="60" ht="30" customHeight="1">
      <c r="A60" s="10" t="inlineStr">
        <is>
          <t>📈 预期：</t>
        </is>
      </c>
    </row>
    <row r="61" ht="30" customHeight="1">
      <c r="A61" s="15" t="inlineStr">
        <is>
          <t>通过强化问题管理，预计可在下一季度将重大及重复事件数量降低20%以上，并提升服务健康评分至50分以上。</t>
        </is>
      </c>
    </row>
    <row r="62" ht="10" customHeight="1"/>
    <row r="63" ht="10" customHeight="1"/>
    <row r="64">
      <c r="A64" s="11" t="inlineStr">
        <is>
          <t>由客户跨流程总览报告生成 • 2026-02-04 13:18</t>
        </is>
      </c>
    </row>
  </sheetData>
  <mergeCells count="20">
    <mergeCell ref="A47:J47"/>
    <mergeCell ref="A5:J5"/>
    <mergeCell ref="A17:J17"/>
    <mergeCell ref="A53:J53"/>
    <mergeCell ref="A4:J4"/>
    <mergeCell ref="A52:J52"/>
    <mergeCell ref="A58:J58"/>
    <mergeCell ref="A48:J48"/>
    <mergeCell ref="A64:J64"/>
    <mergeCell ref="A60:J60"/>
    <mergeCell ref="A51:J51"/>
    <mergeCell ref="A49:J49"/>
    <mergeCell ref="A1:J1"/>
    <mergeCell ref="A61:J61"/>
    <mergeCell ref="A54:J54"/>
    <mergeCell ref="A46:J46"/>
    <mergeCell ref="A18:J18"/>
    <mergeCell ref="A56:J56"/>
    <mergeCell ref="A57:J57"/>
    <mergeCell ref="A2:J2"/>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f97316"/>
    <outlinePr summaryBelow="1" summaryRight="1"/>
    <pageSetUpPr fitToPage="1"/>
  </sheetPr>
  <dimension ref="A1:T148"/>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0" customWidth="1" min="6" max="6"/>
    <col width="10" customWidth="1" min="7" max="7"/>
    <col width="10" customWidth="1" min="8" max="8"/>
    <col width="27" customWidth="1" min="9" max="9"/>
  </cols>
  <sheetData>
    <row r="1" ht="36" customHeight="1">
      <c r="A1" s="1" t="inlineStr">
        <is>
          <t>CRO_人员与效率</t>
        </is>
      </c>
    </row>
    <row r="2" ht="22" customHeight="1">
      <c r="A2" s="2" t="inlineStr">
        <is>
          <t>2024-04-19 — 2025-07-06</t>
        </is>
      </c>
    </row>
    <row r="3" ht="10" customHeight="1"/>
    <row r="4" ht="26" customHeight="1">
      <c r="A4" s="3" t="inlineStr">
        <is>
          <t>数据表格</t>
        </is>
      </c>
    </row>
    <row r="5" ht="26" customHeight="1">
      <c r="A5" s="3" t="inlineStr">
        <is>
          <t>人员绩效</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2" t="n">
        <v>361</v>
      </c>
      <c r="C7" s="5" t="inlineStr">
        <is>
          <t>4.0%</t>
        </is>
      </c>
      <c r="D7" s="5" t="inlineStr">
        <is>
          <t>24.2小时</t>
        </is>
      </c>
      <c r="E7" s="5" t="inlineStr">
        <is>
          <t>99.4%</t>
        </is>
      </c>
      <c r="F7" s="5" t="inlineStr">
        <is>
          <t>99.4%</t>
        </is>
      </c>
      <c r="G7" s="5" t="inlineStr">
        <is>
          <t>65.7%</t>
        </is>
      </c>
      <c r="H7" s="5" t="inlineStr">
        <is>
          <t>一般</t>
        </is>
      </c>
      <c r="I7" s="5" t="inlineStr">
        <is>
          <t>Digital View Monitoring</t>
        </is>
      </c>
    </row>
    <row r="8" ht="18" customHeight="1">
      <c r="A8" s="6" t="inlineStr">
        <is>
          <t>Thomas Smith</t>
        </is>
      </c>
      <c r="B8" s="13" t="n">
        <v>389</v>
      </c>
      <c r="C8" s="6" t="inlineStr">
        <is>
          <t>4.3%</t>
        </is>
      </c>
      <c r="D8" s="6" t="inlineStr">
        <is>
          <t>2.2天</t>
        </is>
      </c>
      <c r="E8" s="6" t="inlineStr">
        <is>
          <t>99.5%</t>
        </is>
      </c>
      <c r="F8" s="6" t="inlineStr">
        <is>
          <t>100.0%</t>
        </is>
      </c>
      <c r="G8" s="6" t="inlineStr">
        <is>
          <t>63.5%</t>
        </is>
      </c>
      <c r="H8" s="6" t="inlineStr">
        <is>
          <t>一般</t>
        </is>
      </c>
      <c r="I8" s="6" t="inlineStr">
        <is>
          <t>Digital View Monitoring</t>
        </is>
      </c>
    </row>
    <row r="9" ht="18" customHeight="1">
      <c r="A9" s="5" t="inlineStr">
        <is>
          <t>Elizabeth Smith</t>
        </is>
      </c>
      <c r="B9" s="12" t="n">
        <v>381</v>
      </c>
      <c r="C9" s="5" t="inlineStr">
        <is>
          <t>4.2%</t>
        </is>
      </c>
      <c r="D9" s="5" t="inlineStr">
        <is>
          <t>25.8小时</t>
        </is>
      </c>
      <c r="E9" s="5" t="inlineStr">
        <is>
          <t>99.2%</t>
        </is>
      </c>
      <c r="F9" s="5" t="inlineStr">
        <is>
          <t>100.0%</t>
        </is>
      </c>
      <c r="G9" s="5" t="inlineStr">
        <is>
          <t>60.9%</t>
        </is>
      </c>
      <c r="H9" s="5" t="inlineStr">
        <is>
          <t>一般</t>
        </is>
      </c>
      <c r="I9" s="5" t="inlineStr">
        <is>
          <t>Digital View Monitoring</t>
        </is>
      </c>
    </row>
    <row r="10" ht="18" customHeight="1">
      <c r="A10" s="6" t="inlineStr">
        <is>
          <t>Barbara Smith</t>
        </is>
      </c>
      <c r="B10" s="13" t="n">
        <v>374</v>
      </c>
      <c r="C10" s="6" t="inlineStr">
        <is>
          <t>4.2%</t>
        </is>
      </c>
      <c r="D10" s="6" t="inlineStr">
        <is>
          <t>23.4小时</t>
        </is>
      </c>
      <c r="E10" s="6" t="inlineStr">
        <is>
          <t>100.0%</t>
        </is>
      </c>
      <c r="F10" s="6" t="inlineStr">
        <is>
          <t>100.0%</t>
        </is>
      </c>
      <c r="G10" s="6" t="inlineStr">
        <is>
          <t>68.7%</t>
        </is>
      </c>
      <c r="H10" s="6" t="inlineStr">
        <is>
          <t>一般</t>
        </is>
      </c>
      <c r="I10" s="6" t="inlineStr">
        <is>
          <t>Digital View Monitoring</t>
        </is>
      </c>
    </row>
    <row r="11" ht="18" customHeight="1">
      <c r="A11" s="5" t="inlineStr">
        <is>
          <t>Jessica Smith</t>
        </is>
      </c>
      <c r="B11" s="12" t="n">
        <v>414</v>
      </c>
      <c r="C11" s="5" t="inlineStr">
        <is>
          <t>4.6%</t>
        </is>
      </c>
      <c r="D11" s="5" t="inlineStr">
        <is>
          <t>25.2小时</t>
        </is>
      </c>
      <c r="E11" s="5" t="inlineStr">
        <is>
          <t>99.0%</t>
        </is>
      </c>
      <c r="F11" s="5" t="inlineStr">
        <is>
          <t>100.0%</t>
        </is>
      </c>
      <c r="G11" s="5" t="inlineStr">
        <is>
          <t>62.8%</t>
        </is>
      </c>
      <c r="H11" s="5" t="inlineStr">
        <is>
          <t>一般</t>
        </is>
      </c>
      <c r="I11" s="5" t="inlineStr">
        <is>
          <t>Digital View Monitoring</t>
        </is>
      </c>
    </row>
    <row r="12" ht="18" customHeight="1">
      <c r="A12" s="6" t="inlineStr">
        <is>
          <t>Linda Smith</t>
        </is>
      </c>
      <c r="B12" s="13" t="n">
        <v>360</v>
      </c>
      <c r="C12" s="6" t="inlineStr">
        <is>
          <t>4.0%</t>
        </is>
      </c>
      <c r="D12" s="6" t="inlineStr">
        <is>
          <t>28.5小时</t>
        </is>
      </c>
      <c r="E12" s="6" t="inlineStr">
        <is>
          <t>99.4%</t>
        </is>
      </c>
      <c r="F12" s="6" t="inlineStr">
        <is>
          <t>100.0%</t>
        </is>
      </c>
      <c r="G12" s="6" t="inlineStr">
        <is>
          <t>64.4%</t>
        </is>
      </c>
      <c r="H12" s="6" t="inlineStr">
        <is>
          <t>一般</t>
        </is>
      </c>
      <c r="I12" s="6" t="inlineStr">
        <is>
          <t>Digital View Monitoring</t>
        </is>
      </c>
    </row>
    <row r="13" ht="18" customHeight="1">
      <c r="A13" s="5" t="inlineStr">
        <is>
          <t>Daniel Smith</t>
        </is>
      </c>
      <c r="B13" s="12" t="n">
        <v>375</v>
      </c>
      <c r="C13" s="5" t="inlineStr">
        <is>
          <t>4.2%</t>
        </is>
      </c>
      <c r="D13" s="5" t="inlineStr">
        <is>
          <t>2.1天</t>
        </is>
      </c>
      <c r="E13" s="5" t="inlineStr">
        <is>
          <t>99.5%</t>
        </is>
      </c>
      <c r="F13" s="5" t="inlineStr">
        <is>
          <t>99.7%</t>
        </is>
      </c>
      <c r="G13" s="5" t="inlineStr">
        <is>
          <t>63.2%</t>
        </is>
      </c>
      <c r="H13" s="5" t="inlineStr">
        <is>
          <t>一般</t>
        </is>
      </c>
      <c r="I13" s="5" t="inlineStr">
        <is>
          <t>Digital View Monitoring</t>
        </is>
      </c>
    </row>
    <row r="14" ht="18" customHeight="1">
      <c r="A14" s="6" t="inlineStr">
        <is>
          <t>Sarah Smith</t>
        </is>
      </c>
      <c r="B14" s="13" t="n">
        <v>379</v>
      </c>
      <c r="C14" s="6" t="inlineStr">
        <is>
          <t>4.2%</t>
        </is>
      </c>
      <c r="D14" s="6" t="inlineStr">
        <is>
          <t>23.4小时</t>
        </is>
      </c>
      <c r="E14" s="6" t="inlineStr">
        <is>
          <t>99.5%</t>
        </is>
      </c>
      <c r="F14" s="6" t="inlineStr">
        <is>
          <t>99.7%</t>
        </is>
      </c>
      <c r="G14" s="6" t="inlineStr">
        <is>
          <t>63.6%</t>
        </is>
      </c>
      <c r="H14" s="6" t="inlineStr">
        <is>
          <t>一般</t>
        </is>
      </c>
      <c r="I14" s="6" t="inlineStr">
        <is>
          <t>Digital View Monitoring</t>
        </is>
      </c>
    </row>
    <row r="15" ht="18" customHeight="1">
      <c r="A15" s="5" t="inlineStr">
        <is>
          <t>Karen Smith</t>
        </is>
      </c>
      <c r="B15" s="12" t="n">
        <v>379</v>
      </c>
      <c r="C15" s="5" t="inlineStr">
        <is>
          <t>4.2%</t>
        </is>
      </c>
      <c r="D15" s="5" t="inlineStr">
        <is>
          <t>24.1小时</t>
        </is>
      </c>
      <c r="E15" s="5" t="inlineStr">
        <is>
          <t>99.7%</t>
        </is>
      </c>
      <c r="F15" s="5" t="inlineStr">
        <is>
          <t>100.0%</t>
        </is>
      </c>
      <c r="G15" s="5" t="inlineStr">
        <is>
          <t>62.8%</t>
        </is>
      </c>
      <c r="H15" s="5" t="inlineStr">
        <is>
          <t>一般</t>
        </is>
      </c>
      <c r="I15" s="5" t="inlineStr">
        <is>
          <t>Digital View Monitoring</t>
        </is>
      </c>
    </row>
    <row r="16" ht="18" customHeight="1">
      <c r="A16" s="6" t="inlineStr">
        <is>
          <t>Charles Smith</t>
        </is>
      </c>
      <c r="B16" s="13" t="n">
        <v>381</v>
      </c>
      <c r="C16" s="6" t="inlineStr">
        <is>
          <t>4.2%</t>
        </is>
      </c>
      <c r="D16" s="6" t="inlineStr">
        <is>
          <t>25.3小时</t>
        </is>
      </c>
      <c r="E16" s="6" t="inlineStr">
        <is>
          <t>99.5%</t>
        </is>
      </c>
      <c r="F16" s="6" t="inlineStr">
        <is>
          <t>99.7%</t>
        </is>
      </c>
      <c r="G16" s="6" t="inlineStr">
        <is>
          <t>63.5%</t>
        </is>
      </c>
      <c r="H16" s="6" t="inlineStr">
        <is>
          <t>一般</t>
        </is>
      </c>
      <c r="I16" s="6" t="inlineStr">
        <is>
          <t>Digital View Monitoring</t>
        </is>
      </c>
    </row>
    <row r="17" ht="18" customHeight="1">
      <c r="A17" s="5" t="inlineStr">
        <is>
          <t>Lisa Smith</t>
        </is>
      </c>
      <c r="B17" s="12" t="n">
        <v>375</v>
      </c>
      <c r="C17" s="5" t="inlineStr">
        <is>
          <t>4.2%</t>
        </is>
      </c>
      <c r="D17" s="5" t="inlineStr">
        <is>
          <t>28.2小时</t>
        </is>
      </c>
      <c r="E17" s="5" t="inlineStr">
        <is>
          <t>99.2%</t>
        </is>
      </c>
      <c r="F17" s="5" t="inlineStr">
        <is>
          <t>100.0%</t>
        </is>
      </c>
      <c r="G17" s="5" t="inlineStr">
        <is>
          <t>59.5%</t>
        </is>
      </c>
      <c r="H17" s="5" t="inlineStr">
        <is>
          <t>一般</t>
        </is>
      </c>
      <c r="I17" s="5" t="inlineStr">
        <is>
          <t>Digital View Monitoring</t>
        </is>
      </c>
    </row>
    <row r="18" ht="18" customHeight="1">
      <c r="A18" s="6" t="inlineStr">
        <is>
          <t>Jennifer Smith</t>
        </is>
      </c>
      <c r="B18" s="13" t="n">
        <v>360</v>
      </c>
      <c r="C18" s="6" t="inlineStr">
        <is>
          <t>4.0%</t>
        </is>
      </c>
      <c r="D18" s="6" t="inlineStr">
        <is>
          <t>24.5小时</t>
        </is>
      </c>
      <c r="E18" s="6" t="inlineStr">
        <is>
          <t>99.7%</t>
        </is>
      </c>
      <c r="F18" s="6" t="inlineStr">
        <is>
          <t>99.7%</t>
        </is>
      </c>
      <c r="G18" s="6" t="inlineStr">
        <is>
          <t>63.1%</t>
        </is>
      </c>
      <c r="H18" s="6" t="inlineStr">
        <is>
          <t>一般</t>
        </is>
      </c>
      <c r="I18" s="6" t="inlineStr">
        <is>
          <t>Digital View Monitoring</t>
        </is>
      </c>
    </row>
    <row r="19" ht="18" customHeight="1">
      <c r="A19" s="5" t="inlineStr">
        <is>
          <t>Christopher Smith</t>
        </is>
      </c>
      <c r="B19" s="12" t="n">
        <v>384</v>
      </c>
      <c r="C19" s="5" t="inlineStr">
        <is>
          <t>4.3%</t>
        </is>
      </c>
      <c r="D19" s="5" t="inlineStr">
        <is>
          <t>26.5小时</t>
        </is>
      </c>
      <c r="E19" s="5" t="inlineStr">
        <is>
          <t>99.5%</t>
        </is>
      </c>
      <c r="F19" s="5" t="inlineStr">
        <is>
          <t>99.7%</t>
        </is>
      </c>
      <c r="G19" s="5" t="inlineStr">
        <is>
          <t>64.1%</t>
        </is>
      </c>
      <c r="H19" s="5" t="inlineStr">
        <is>
          <t>一般</t>
        </is>
      </c>
      <c r="I19" s="5" t="inlineStr">
        <is>
          <t>Digital View Monitoring</t>
        </is>
      </c>
    </row>
    <row r="20" ht="18" customHeight="1">
      <c r="A20" s="6" t="inlineStr">
        <is>
          <t>William Smith</t>
        </is>
      </c>
      <c r="B20" s="13" t="n">
        <v>377</v>
      </c>
      <c r="C20" s="6" t="inlineStr">
        <is>
          <t>4.2%</t>
        </is>
      </c>
      <c r="D20" s="6" t="inlineStr">
        <is>
          <t>24.8小时</t>
        </is>
      </c>
      <c r="E20" s="6" t="inlineStr">
        <is>
          <t>98.9%</t>
        </is>
      </c>
      <c r="F20" s="6" t="inlineStr">
        <is>
          <t>99.7%</t>
        </is>
      </c>
      <c r="G20" s="6" t="inlineStr">
        <is>
          <t>67.4%</t>
        </is>
      </c>
      <c r="H20" s="6" t="inlineStr">
        <is>
          <t>一般</t>
        </is>
      </c>
      <c r="I20" s="6" t="inlineStr">
        <is>
          <t>Digital View Monitoring</t>
        </is>
      </c>
    </row>
    <row r="21" ht="18" customHeight="1">
      <c r="A21" s="5" t="inlineStr">
        <is>
          <t>Patricia Smith</t>
        </is>
      </c>
      <c r="B21" s="12" t="n">
        <v>376</v>
      </c>
      <c r="C21" s="5" t="inlineStr">
        <is>
          <t>4.2%</t>
        </is>
      </c>
      <c r="D21" s="5" t="inlineStr">
        <is>
          <t>26.4小时</t>
        </is>
      </c>
      <c r="E21" s="5" t="inlineStr">
        <is>
          <t>100.0%</t>
        </is>
      </c>
      <c r="F21" s="5" t="inlineStr">
        <is>
          <t>100.0%</t>
        </is>
      </c>
      <c r="G21" s="5" t="inlineStr">
        <is>
          <t>67.6%</t>
        </is>
      </c>
      <c r="H21" s="5" t="inlineStr">
        <is>
          <t>一般</t>
        </is>
      </c>
      <c r="I21" s="5" t="inlineStr">
        <is>
          <t>Digital View Monitoring</t>
        </is>
      </c>
    </row>
    <row r="22" ht="18" customHeight="1">
      <c r="A22" s="6" t="inlineStr">
        <is>
          <t>Joseph Smith</t>
        </is>
      </c>
      <c r="B22" s="13" t="n">
        <v>393</v>
      </c>
      <c r="C22" s="6" t="inlineStr">
        <is>
          <t>4.4%</t>
        </is>
      </c>
      <c r="D22" s="6" t="inlineStr">
        <is>
          <t>25.1小时</t>
        </is>
      </c>
      <c r="E22" s="6" t="inlineStr">
        <is>
          <t>99.5%</t>
        </is>
      </c>
      <c r="F22" s="6" t="inlineStr">
        <is>
          <t>100.0%</t>
        </is>
      </c>
      <c r="G22" s="6" t="inlineStr">
        <is>
          <t>63.9%</t>
        </is>
      </c>
      <c r="H22" s="6" t="inlineStr">
        <is>
          <t>一般</t>
        </is>
      </c>
      <c r="I22" s="6" t="inlineStr">
        <is>
          <t>Digital View Monitoring</t>
        </is>
      </c>
    </row>
    <row r="23" ht="18" customHeight="1">
      <c r="A23" s="5" t="inlineStr">
        <is>
          <t>Michael Smith</t>
        </is>
      </c>
      <c r="B23" s="12" t="n">
        <v>385</v>
      </c>
      <c r="C23" s="5" t="inlineStr">
        <is>
          <t>4.3%</t>
        </is>
      </c>
      <c r="D23" s="5" t="inlineStr">
        <is>
          <t>24.2小时</t>
        </is>
      </c>
      <c r="E23" s="5" t="inlineStr">
        <is>
          <t>99.5%</t>
        </is>
      </c>
      <c r="F23" s="5" t="inlineStr">
        <is>
          <t>100.0%</t>
        </is>
      </c>
      <c r="G23" s="5" t="inlineStr">
        <is>
          <t>66.2%</t>
        </is>
      </c>
      <c r="H23" s="5" t="inlineStr">
        <is>
          <t>一般</t>
        </is>
      </c>
      <c r="I23" s="5" t="inlineStr">
        <is>
          <t>Digital View Monitoring</t>
        </is>
      </c>
    </row>
    <row r="24" ht="18" customHeight="1">
      <c r="A24" s="6" t="inlineStr">
        <is>
          <t>David Smith</t>
        </is>
      </c>
      <c r="B24" s="13" t="n">
        <v>326</v>
      </c>
      <c r="C24" s="6" t="inlineStr">
        <is>
          <t>3.6%</t>
        </is>
      </c>
      <c r="D24" s="6" t="inlineStr">
        <is>
          <t>2.2天</t>
        </is>
      </c>
      <c r="E24" s="6" t="inlineStr">
        <is>
          <t>99.1%</t>
        </is>
      </c>
      <c r="F24" s="6" t="inlineStr">
        <is>
          <t>100.0%</t>
        </is>
      </c>
      <c r="G24" s="6" t="inlineStr">
        <is>
          <t>65.0%</t>
        </is>
      </c>
      <c r="H24" s="6" t="inlineStr">
        <is>
          <t>一般</t>
        </is>
      </c>
      <c r="I24" s="6" t="inlineStr">
        <is>
          <t>Digital View Monitoring</t>
        </is>
      </c>
    </row>
    <row r="25" ht="18" customHeight="1">
      <c r="A25" s="5" t="inlineStr">
        <is>
          <t>John Smith</t>
        </is>
      </c>
      <c r="B25" s="12" t="n">
        <v>346</v>
      </c>
      <c r="C25" s="5" t="inlineStr">
        <is>
          <t>3.9%</t>
        </is>
      </c>
      <c r="D25" s="5" t="inlineStr">
        <is>
          <t>24.2小时</t>
        </is>
      </c>
      <c r="E25" s="5" t="inlineStr">
        <is>
          <t>99.1%</t>
        </is>
      </c>
      <c r="F25" s="5" t="inlineStr">
        <is>
          <t>99.7%</t>
        </is>
      </c>
      <c r="G25" s="5" t="inlineStr">
        <is>
          <t>63.6%</t>
        </is>
      </c>
      <c r="H25" s="5" t="inlineStr">
        <is>
          <t>一般</t>
        </is>
      </c>
      <c r="I25" s="5" t="inlineStr">
        <is>
          <t>Digital View Monitoring</t>
        </is>
      </c>
    </row>
    <row r="26" ht="18" customHeight="1">
      <c r="A26" s="6" t="inlineStr">
        <is>
          <t>Mary Smith</t>
        </is>
      </c>
      <c r="B26" s="13" t="n">
        <v>348</v>
      </c>
      <c r="C26" s="6" t="inlineStr">
        <is>
          <t>3.9%</t>
        </is>
      </c>
      <c r="D26" s="6" t="inlineStr">
        <is>
          <t>2.0天</t>
        </is>
      </c>
      <c r="E26" s="6" t="inlineStr">
        <is>
          <t>100.0%</t>
        </is>
      </c>
      <c r="F26" s="6" t="inlineStr">
        <is>
          <t>99.7%</t>
        </is>
      </c>
      <c r="G26" s="6" t="inlineStr">
        <is>
          <t>64.4%</t>
        </is>
      </c>
      <c r="H26" s="6" t="inlineStr">
        <is>
          <t>一般</t>
        </is>
      </c>
      <c r="I26" s="6" t="inlineStr">
        <is>
          <t>Digital View Monitoring</t>
        </is>
      </c>
    </row>
    <row r="27" ht="18" customHeight="1">
      <c r="A27" s="5" t="inlineStr">
        <is>
          <t>Nancy Smith</t>
        </is>
      </c>
      <c r="B27" s="12" t="n">
        <v>380</v>
      </c>
      <c r="C27" s="5" t="inlineStr">
        <is>
          <t>4.2%</t>
        </is>
      </c>
      <c r="D27" s="5" t="inlineStr">
        <is>
          <t>23.8小时</t>
        </is>
      </c>
      <c r="E27" s="5" t="inlineStr">
        <is>
          <t>99.2%</t>
        </is>
      </c>
      <c r="F27" s="5" t="inlineStr">
        <is>
          <t>100.0%</t>
        </is>
      </c>
      <c r="G27" s="5" t="inlineStr">
        <is>
          <t>67.4%</t>
        </is>
      </c>
      <c r="H27" s="5" t="inlineStr">
        <is>
          <t>一般</t>
        </is>
      </c>
      <c r="I27" s="5" t="inlineStr">
        <is>
          <t>Digital View Monitoring</t>
        </is>
      </c>
    </row>
    <row r="28" ht="18" customHeight="1">
      <c r="A28" s="6" t="inlineStr">
        <is>
          <t>Robert Smith</t>
        </is>
      </c>
      <c r="B28" s="13" t="n">
        <v>354</v>
      </c>
      <c r="C28" s="6" t="inlineStr">
        <is>
          <t>3.9%</t>
        </is>
      </c>
      <c r="D28" s="6" t="inlineStr">
        <is>
          <t>26.4小时</t>
        </is>
      </c>
      <c r="E28" s="6" t="inlineStr">
        <is>
          <t>99.7%</t>
        </is>
      </c>
      <c r="F28" s="6" t="inlineStr">
        <is>
          <t>100.0%</t>
        </is>
      </c>
      <c r="G28" s="6" t="inlineStr">
        <is>
          <t>63.0%</t>
        </is>
      </c>
      <c r="H28" s="6" t="inlineStr">
        <is>
          <t>一般</t>
        </is>
      </c>
      <c r="I28" s="6" t="inlineStr">
        <is>
          <t>Digital View Monitoring</t>
        </is>
      </c>
    </row>
    <row r="29" ht="18" customHeight="1">
      <c r="A29" s="5" t="inlineStr">
        <is>
          <t>James Smith</t>
        </is>
      </c>
      <c r="B29" s="12" t="n">
        <v>385</v>
      </c>
      <c r="C29" s="5" t="inlineStr">
        <is>
          <t>4.3%</t>
        </is>
      </c>
      <c r="D29" s="5" t="inlineStr">
        <is>
          <t>24.6小时</t>
        </is>
      </c>
      <c r="E29" s="5" t="inlineStr">
        <is>
          <t>99.7%</t>
        </is>
      </c>
      <c r="F29" s="5" t="inlineStr">
        <is>
          <t>100.0%</t>
        </is>
      </c>
      <c r="G29" s="5" t="inlineStr">
        <is>
          <t>64.4%</t>
        </is>
      </c>
      <c r="H29" s="5" t="inlineStr">
        <is>
          <t>一般</t>
        </is>
      </c>
      <c r="I29" s="5" t="inlineStr">
        <is>
          <t>Digital View Monitoring</t>
        </is>
      </c>
    </row>
    <row r="30" ht="18" customHeight="1">
      <c r="A30" s="6" t="inlineStr">
        <is>
          <t>Richard Smith</t>
        </is>
      </c>
      <c r="B30" s="13" t="n">
        <v>395</v>
      </c>
      <c r="C30" s="6" t="inlineStr">
        <is>
          <t>4.4%</t>
        </is>
      </c>
      <c r="D30" s="6" t="inlineStr">
        <is>
          <t>25.1小时</t>
        </is>
      </c>
      <c r="E30" s="6" t="inlineStr">
        <is>
          <t>98.7%</t>
        </is>
      </c>
      <c r="F30" s="6" t="inlineStr">
        <is>
          <t>99.7%</t>
        </is>
      </c>
      <c r="G30" s="6" t="inlineStr">
        <is>
          <t>62.5%</t>
        </is>
      </c>
      <c r="H30" s="6" t="inlineStr">
        <is>
          <t>一般</t>
        </is>
      </c>
      <c r="I30" s="6" t="inlineStr">
        <is>
          <t>Digital View Monitoring</t>
        </is>
      </c>
    </row>
    <row r="31" ht="10" customHeight="1"/>
    <row r="32" ht="26" customHeight="1">
      <c r="A32" s="3" t="inlineStr">
        <is>
          <t>人员优先级分布</t>
        </is>
      </c>
    </row>
    <row r="33" ht="20" customHeight="1">
      <c r="A33" s="4" t="inlineStr">
        <is>
          <t>Name</t>
        </is>
      </c>
      <c r="B33" s="4" t="inlineStr">
        <is>
          <t>P1</t>
        </is>
      </c>
      <c r="C33" s="4" t="inlineStr">
        <is>
          <t>P2</t>
        </is>
      </c>
      <c r="D33" s="4" t="inlineStr">
        <is>
          <t>P3</t>
        </is>
      </c>
      <c r="E33" s="4" t="inlineStr">
        <is>
          <t>P4</t>
        </is>
      </c>
      <c r="F33" s="4" t="inlineStr">
        <is>
          <t>Total</t>
        </is>
      </c>
      <c r="G33" s="4" t="inlineStr">
        <is>
          <t>P1+P2%</t>
        </is>
      </c>
    </row>
    <row r="34" ht="18" customHeight="1">
      <c r="A34" s="5" t="inlineStr">
        <is>
          <t>Jessica Smith</t>
        </is>
      </c>
      <c r="B34" s="12" t="n">
        <v>21</v>
      </c>
      <c r="C34" s="12" t="n">
        <v>67</v>
      </c>
      <c r="D34" s="12" t="n">
        <v>150</v>
      </c>
      <c r="E34" s="12" t="n">
        <v>176</v>
      </c>
      <c r="F34" s="12" t="n">
        <v>414</v>
      </c>
      <c r="G34" s="5" t="inlineStr">
        <is>
          <t>21.3%</t>
        </is>
      </c>
    </row>
    <row r="35" ht="18" customHeight="1">
      <c r="A35" s="6" t="inlineStr">
        <is>
          <t>Richard Smith</t>
        </is>
      </c>
      <c r="B35" s="13" t="n">
        <v>20</v>
      </c>
      <c r="C35" s="13" t="n">
        <v>50</v>
      </c>
      <c r="D35" s="13" t="n">
        <v>148</v>
      </c>
      <c r="E35" s="13" t="n">
        <v>177</v>
      </c>
      <c r="F35" s="13" t="n">
        <v>395</v>
      </c>
      <c r="G35" s="6" t="inlineStr">
        <is>
          <t>17.7%</t>
        </is>
      </c>
    </row>
    <row r="36" ht="18" customHeight="1">
      <c r="A36" s="5" t="inlineStr">
        <is>
          <t>Joseph Smith</t>
        </is>
      </c>
      <c r="B36" s="12" t="n">
        <v>22</v>
      </c>
      <c r="C36" s="12" t="n">
        <v>56</v>
      </c>
      <c r="D36" s="12" t="n">
        <v>127</v>
      </c>
      <c r="E36" s="12" t="n">
        <v>188</v>
      </c>
      <c r="F36" s="12" t="n">
        <v>393</v>
      </c>
      <c r="G36" s="5" t="inlineStr">
        <is>
          <t>19.8%</t>
        </is>
      </c>
    </row>
    <row r="37" ht="18" customHeight="1">
      <c r="A37" s="6" t="inlineStr">
        <is>
          <t>Thomas Smith</t>
        </is>
      </c>
      <c r="B37" s="13" t="n">
        <v>27</v>
      </c>
      <c r="C37" s="13" t="n">
        <v>54</v>
      </c>
      <c r="D37" s="13" t="n">
        <v>128</v>
      </c>
      <c r="E37" s="13" t="n">
        <v>180</v>
      </c>
      <c r="F37" s="13" t="n">
        <v>389</v>
      </c>
      <c r="G37" s="6" t="inlineStr">
        <is>
          <t>20.8%</t>
        </is>
      </c>
    </row>
    <row r="38" ht="18" customHeight="1">
      <c r="A38" s="5" t="inlineStr">
        <is>
          <t>Michael Smith</t>
        </is>
      </c>
      <c r="B38" s="12" t="n">
        <v>18</v>
      </c>
      <c r="C38" s="12" t="n">
        <v>54</v>
      </c>
      <c r="D38" s="12" t="n">
        <v>138</v>
      </c>
      <c r="E38" s="12" t="n">
        <v>175</v>
      </c>
      <c r="F38" s="12" t="n">
        <v>385</v>
      </c>
      <c r="G38" s="5" t="inlineStr">
        <is>
          <t>18.7%</t>
        </is>
      </c>
    </row>
    <row r="39" ht="18" customHeight="1">
      <c r="A39" s="6" t="inlineStr">
        <is>
          <t>James Smith</t>
        </is>
      </c>
      <c r="B39" s="13" t="n">
        <v>18</v>
      </c>
      <c r="C39" s="13" t="n">
        <v>61</v>
      </c>
      <c r="D39" s="13" t="n">
        <v>140</v>
      </c>
      <c r="E39" s="13" t="n">
        <v>166</v>
      </c>
      <c r="F39" s="13" t="n">
        <v>385</v>
      </c>
      <c r="G39" s="6" t="inlineStr">
        <is>
          <t>20.5%</t>
        </is>
      </c>
    </row>
    <row r="40" ht="18" customHeight="1">
      <c r="A40" s="5" t="inlineStr">
        <is>
          <t>Christopher Smith</t>
        </is>
      </c>
      <c r="B40" s="12" t="n">
        <v>24</v>
      </c>
      <c r="C40" s="12" t="n">
        <v>52</v>
      </c>
      <c r="D40" s="12" t="n">
        <v>145</v>
      </c>
      <c r="E40" s="12" t="n">
        <v>163</v>
      </c>
      <c r="F40" s="12" t="n">
        <v>384</v>
      </c>
      <c r="G40" s="5" t="inlineStr">
        <is>
          <t>19.8%</t>
        </is>
      </c>
    </row>
    <row r="41" ht="18" customHeight="1">
      <c r="A41" s="6" t="inlineStr">
        <is>
          <t>Elizabeth Smith</t>
        </is>
      </c>
      <c r="B41" s="13" t="n">
        <v>12</v>
      </c>
      <c r="C41" s="13" t="n">
        <v>71</v>
      </c>
      <c r="D41" s="13" t="n">
        <v>130</v>
      </c>
      <c r="E41" s="13" t="n">
        <v>168</v>
      </c>
      <c r="F41" s="13" t="n">
        <v>381</v>
      </c>
      <c r="G41" s="6" t="inlineStr">
        <is>
          <t>21.8%</t>
        </is>
      </c>
    </row>
    <row r="42" ht="18" customHeight="1">
      <c r="A42" s="5" t="inlineStr">
        <is>
          <t>Charles Smith</t>
        </is>
      </c>
      <c r="B42" s="12" t="n">
        <v>22</v>
      </c>
      <c r="C42" s="12" t="n">
        <v>58</v>
      </c>
      <c r="D42" s="12" t="n">
        <v>143</v>
      </c>
      <c r="E42" s="12" t="n">
        <v>158</v>
      </c>
      <c r="F42" s="12" t="n">
        <v>381</v>
      </c>
      <c r="G42" s="5" t="inlineStr">
        <is>
          <t>21.0%</t>
        </is>
      </c>
    </row>
    <row r="43" ht="18" customHeight="1">
      <c r="A43" s="6" t="inlineStr">
        <is>
          <t>Nancy Smith</t>
        </is>
      </c>
      <c r="B43" s="13" t="n">
        <v>15</v>
      </c>
      <c r="C43" s="13" t="n">
        <v>56</v>
      </c>
      <c r="D43" s="13" t="n">
        <v>124</v>
      </c>
      <c r="E43" s="13" t="n">
        <v>185</v>
      </c>
      <c r="F43" s="13" t="n">
        <v>380</v>
      </c>
      <c r="G43" s="6" t="inlineStr">
        <is>
          <t>18.7%</t>
        </is>
      </c>
    </row>
    <row r="44" ht="18" customHeight="1">
      <c r="A44" s="5" t="inlineStr">
        <is>
          <t>Sarah Smith</t>
        </is>
      </c>
      <c r="B44" s="12" t="n">
        <v>22</v>
      </c>
      <c r="C44" s="12" t="n">
        <v>56</v>
      </c>
      <c r="D44" s="12" t="n">
        <v>131</v>
      </c>
      <c r="E44" s="12" t="n">
        <v>170</v>
      </c>
      <c r="F44" s="12" t="n">
        <v>379</v>
      </c>
      <c r="G44" s="5" t="inlineStr">
        <is>
          <t>20.6%</t>
        </is>
      </c>
    </row>
    <row r="45" ht="18" customHeight="1">
      <c r="A45" s="6" t="inlineStr">
        <is>
          <t>Karen Smith</t>
        </is>
      </c>
      <c r="B45" s="13" t="n">
        <v>20</v>
      </c>
      <c r="C45" s="13" t="n">
        <v>62</v>
      </c>
      <c r="D45" s="13" t="n">
        <v>137</v>
      </c>
      <c r="E45" s="13" t="n">
        <v>160</v>
      </c>
      <c r="F45" s="13" t="n">
        <v>379</v>
      </c>
      <c r="G45" s="6" t="inlineStr">
        <is>
          <t>21.6%</t>
        </is>
      </c>
    </row>
    <row r="46" ht="18" customHeight="1">
      <c r="A46" s="5" t="inlineStr">
        <is>
          <t>William Smith</t>
        </is>
      </c>
      <c r="B46" s="12" t="n">
        <v>16</v>
      </c>
      <c r="C46" s="12" t="n">
        <v>61</v>
      </c>
      <c r="D46" s="12" t="n">
        <v>122</v>
      </c>
      <c r="E46" s="12" t="n">
        <v>178</v>
      </c>
      <c r="F46" s="12" t="n">
        <v>377</v>
      </c>
      <c r="G46" s="5" t="inlineStr">
        <is>
          <t>20.4%</t>
        </is>
      </c>
    </row>
    <row r="47" ht="18" customHeight="1">
      <c r="A47" s="6" t="inlineStr">
        <is>
          <t>Patricia Smith</t>
        </is>
      </c>
      <c r="B47" s="13" t="n">
        <v>21</v>
      </c>
      <c r="C47" s="13" t="n">
        <v>55</v>
      </c>
      <c r="D47" s="13" t="n">
        <v>122</v>
      </c>
      <c r="E47" s="13" t="n">
        <v>178</v>
      </c>
      <c r="F47" s="13" t="n">
        <v>376</v>
      </c>
      <c r="G47" s="6" t="inlineStr">
        <is>
          <t>20.2%</t>
        </is>
      </c>
    </row>
    <row r="48" ht="18" customHeight="1">
      <c r="A48" s="5" t="inlineStr">
        <is>
          <t>Daniel Smith</t>
        </is>
      </c>
      <c r="B48" s="12" t="n">
        <v>16</v>
      </c>
      <c r="C48" s="12" t="n">
        <v>54</v>
      </c>
      <c r="D48" s="12" t="n">
        <v>142</v>
      </c>
      <c r="E48" s="12" t="n">
        <v>163</v>
      </c>
      <c r="F48" s="12" t="n">
        <v>375</v>
      </c>
      <c r="G48" s="5" t="inlineStr">
        <is>
          <t>18.7%</t>
        </is>
      </c>
    </row>
    <row r="49" ht="18" customHeight="1">
      <c r="A49" s="6" t="inlineStr">
        <is>
          <t>Lisa Smith</t>
        </is>
      </c>
      <c r="B49" s="13" t="n">
        <v>17</v>
      </c>
      <c r="C49" s="13" t="n">
        <v>53</v>
      </c>
      <c r="D49" s="13" t="n">
        <v>151</v>
      </c>
      <c r="E49" s="13" t="n">
        <v>154</v>
      </c>
      <c r="F49" s="13" t="n">
        <v>375</v>
      </c>
      <c r="G49" s="6" t="inlineStr">
        <is>
          <t>18.7%</t>
        </is>
      </c>
    </row>
    <row r="50" ht="18" customHeight="1">
      <c r="A50" s="5" t="inlineStr">
        <is>
          <t>Barbara Smith</t>
        </is>
      </c>
      <c r="B50" s="12" t="n">
        <v>24</v>
      </c>
      <c r="C50" s="12" t="n">
        <v>41</v>
      </c>
      <c r="D50" s="12" t="n">
        <v>132</v>
      </c>
      <c r="E50" s="12" t="n">
        <v>177</v>
      </c>
      <c r="F50" s="12" t="n">
        <v>374</v>
      </c>
      <c r="G50" s="5" t="inlineStr">
        <is>
          <t>17.4%</t>
        </is>
      </c>
    </row>
    <row r="51" ht="18" customHeight="1">
      <c r="A51" s="6" t="inlineStr">
        <is>
          <t>Susan Smith</t>
        </is>
      </c>
      <c r="B51" s="13" t="n">
        <v>9</v>
      </c>
      <c r="C51" s="13" t="n">
        <v>57</v>
      </c>
      <c r="D51" s="13" t="n">
        <v>131</v>
      </c>
      <c r="E51" s="13" t="n">
        <v>164</v>
      </c>
      <c r="F51" s="13" t="n">
        <v>361</v>
      </c>
      <c r="G51" s="6" t="inlineStr">
        <is>
          <t>18.3%</t>
        </is>
      </c>
    </row>
    <row r="52" ht="18" customHeight="1">
      <c r="A52" s="5" t="inlineStr">
        <is>
          <t>Linda Smith</t>
        </is>
      </c>
      <c r="B52" s="12" t="n">
        <v>18</v>
      </c>
      <c r="C52" s="12" t="n">
        <v>49</v>
      </c>
      <c r="D52" s="12" t="n">
        <v>120</v>
      </c>
      <c r="E52" s="12" t="n">
        <v>173</v>
      </c>
      <c r="F52" s="12" t="n">
        <v>360</v>
      </c>
      <c r="G52" s="5" t="inlineStr">
        <is>
          <t>18.6%</t>
        </is>
      </c>
    </row>
    <row r="53" ht="18" customHeight="1">
      <c r="A53" s="6" t="inlineStr">
        <is>
          <t>Jennifer Smith</t>
        </is>
      </c>
      <c r="B53" s="13" t="n">
        <v>18</v>
      </c>
      <c r="C53" s="13" t="n">
        <v>47</v>
      </c>
      <c r="D53" s="13" t="n">
        <v>133</v>
      </c>
      <c r="E53" s="13" t="n">
        <v>162</v>
      </c>
      <c r="F53" s="13" t="n">
        <v>360</v>
      </c>
      <c r="G53" s="6" t="inlineStr">
        <is>
          <t>18.1%</t>
        </is>
      </c>
    </row>
    <row r="54" ht="10" customHeight="1"/>
    <row r="55" ht="26" customHeight="1">
      <c r="A55" s="3" t="inlineStr">
        <is>
          <t>工作量分布</t>
        </is>
      </c>
    </row>
    <row r="56" ht="20" customHeight="1">
      <c r="A56" s="4" t="inlineStr">
        <is>
          <t>Level</t>
        </is>
      </c>
      <c r="B56" s="4" t="inlineStr">
        <is>
          <t>Count</t>
        </is>
      </c>
      <c r="C56" s="4" t="inlineStr">
        <is>
          <t>%</t>
        </is>
      </c>
      <c r="D56" s="4" t="inlineStr">
        <is>
          <t>Avg Events</t>
        </is>
      </c>
      <c r="E56" s="4" t="inlineStr">
        <is>
          <t>Suggestion</t>
        </is>
      </c>
    </row>
    <row r="57" ht="18" customHeight="1">
      <c r="A57" s="5" t="inlineStr">
        <is>
          <t>Light</t>
        </is>
      </c>
      <c r="B57" s="12" t="n">
        <v>7</v>
      </c>
      <c r="C57" s="5" t="inlineStr">
        <is>
          <t>29.2%</t>
        </is>
      </c>
      <c r="D57" s="5" t="inlineStr">
        <is>
          <t>350.7</t>
        </is>
      </c>
      <c r="E57" s="5" t="inlineStr">
        <is>
          <t>Consider additional assignments or cross-training</t>
        </is>
      </c>
    </row>
    <row r="58" ht="18" customHeight="1">
      <c r="A58" s="6" t="inlineStr">
        <is>
          <t>Normal</t>
        </is>
      </c>
      <c r="B58" s="13" t="n">
        <v>10</v>
      </c>
      <c r="C58" s="6" t="inlineStr">
        <is>
          <t>41.7%</t>
        </is>
      </c>
      <c r="D58" s="6" t="inlineStr">
        <is>
          <t>377.7</t>
        </is>
      </c>
      <c r="E58" s="6" t="inlineStr">
        <is>
          <t>Maintain current workload level</t>
        </is>
      </c>
    </row>
    <row r="59" ht="18" customHeight="1">
      <c r="A59" s="5" t="inlineStr">
        <is>
          <t>Heavy</t>
        </is>
      </c>
      <c r="B59" s="12" t="n">
        <v>6</v>
      </c>
      <c r="C59" s="5" t="inlineStr">
        <is>
          <t>25.0%</t>
        </is>
      </c>
      <c r="D59" s="5" t="inlineStr">
        <is>
          <t>388.5</t>
        </is>
      </c>
      <c r="E59" s="5" t="inlineStr">
        <is>
          <t>Monitor for burnout and consider redistribution</t>
        </is>
      </c>
    </row>
    <row r="60" ht="18" customHeight="1">
      <c r="A60" s="6" t="inlineStr">
        <is>
          <t>Overloaded</t>
        </is>
      </c>
      <c r="B60" s="13" t="n">
        <v>1</v>
      </c>
      <c r="C60" s="6" t="inlineStr">
        <is>
          <t>4.2%</t>
        </is>
      </c>
      <c r="D60" s="6" t="inlineStr">
        <is>
          <t>414.0</t>
        </is>
      </c>
      <c r="E60" s="6" t="inlineStr">
        <is>
          <t>Immediate workload redistribution needed</t>
        </is>
      </c>
    </row>
    <row r="61" ht="10" customHeight="1"/>
    <row r="62" ht="26" customHeight="1">
      <c r="A62" s="3" t="inlineStr">
        <is>
          <t>技能覆盖</t>
        </is>
      </c>
    </row>
    <row r="63" ht="20" customHeight="1">
      <c r="A63" s="4" t="inlineStr">
        <is>
          <t>Category</t>
        </is>
      </c>
      <c r="B63" s="4" t="inlineStr">
        <is>
          <t>Handlers</t>
        </is>
      </c>
      <c r="C63" s="4" t="inlineStr">
        <is>
          <t>Primary</t>
        </is>
      </c>
      <c r="D63" s="4" t="inlineStr">
        <is>
          <t>Coverage</t>
        </is>
      </c>
      <c r="E63" s="4" t="inlineStr">
        <is>
          <t>Risk</t>
        </is>
      </c>
    </row>
    <row r="64" ht="18" customHeight="1">
      <c r="A64" s="5" t="inlineStr">
        <is>
          <t>Digital View Monitoring</t>
        </is>
      </c>
      <c r="B64" s="12" t="n">
        <v>24</v>
      </c>
      <c r="C64" s="5" t="inlineStr">
        <is>
          <t>Thomas Smith</t>
        </is>
      </c>
      <c r="D64" s="5" t="inlineStr">
        <is>
          <t>100.0%</t>
        </is>
      </c>
      <c r="E64" s="5" t="inlineStr">
        <is>
          <t>Low</t>
        </is>
      </c>
    </row>
    <row r="65" ht="18" customHeight="1">
      <c r="A65" s="6" t="inlineStr">
        <is>
          <t>Card</t>
        </is>
      </c>
      <c r="B65" s="13" t="n">
        <v>24</v>
      </c>
      <c r="C65" s="6" t="inlineStr">
        <is>
          <t>Jessica Smith</t>
        </is>
      </c>
      <c r="D65" s="6" t="inlineStr">
        <is>
          <t>100.0%</t>
        </is>
      </c>
      <c r="E65" s="6" t="inlineStr">
        <is>
          <t>Low</t>
        </is>
      </c>
    </row>
    <row r="66" ht="18" customHeight="1">
      <c r="A66" s="5" t="inlineStr">
        <is>
          <t>International Money Transfer</t>
        </is>
      </c>
      <c r="B66" s="12" t="n">
        <v>24</v>
      </c>
      <c r="C66" s="5" t="inlineStr">
        <is>
          <t>Sarah Smith</t>
        </is>
      </c>
      <c r="D66" s="5" t="inlineStr">
        <is>
          <t>100.0%</t>
        </is>
      </c>
      <c r="E66" s="5" t="inlineStr">
        <is>
          <t>Low</t>
        </is>
      </c>
    </row>
    <row r="67" ht="18" customHeight="1">
      <c r="A67" s="6" t="inlineStr">
        <is>
          <t>Outward Fund transfer</t>
        </is>
      </c>
      <c r="B67" s="13" t="n">
        <v>24</v>
      </c>
      <c r="C67" s="6" t="inlineStr">
        <is>
          <t>Patricia Smith</t>
        </is>
      </c>
      <c r="D67" s="6" t="inlineStr">
        <is>
          <t>100.0%</t>
        </is>
      </c>
      <c r="E67" s="6" t="inlineStr">
        <is>
          <t>Low</t>
        </is>
      </c>
    </row>
    <row r="68" ht="18" customHeight="1">
      <c r="A68" s="5" t="inlineStr">
        <is>
          <t>Onboarding</t>
        </is>
      </c>
      <c r="B68" s="12" t="n">
        <v>24</v>
      </c>
      <c r="C68" s="5" t="inlineStr">
        <is>
          <t>Barbara Smith</t>
        </is>
      </c>
      <c r="D68" s="5" t="inlineStr">
        <is>
          <t>100.0%</t>
        </is>
      </c>
      <c r="E68" s="5" t="inlineStr">
        <is>
          <t>Low</t>
        </is>
      </c>
    </row>
    <row r="69" ht="18" customHeight="1">
      <c r="A69" s="6" t="inlineStr">
        <is>
          <t>Account Management</t>
        </is>
      </c>
      <c r="B69" s="13" t="n">
        <v>24</v>
      </c>
      <c r="C69" s="6" t="inlineStr">
        <is>
          <t>Karen Smith</t>
        </is>
      </c>
      <c r="D69" s="6" t="inlineStr">
        <is>
          <t>100.0%</t>
        </is>
      </c>
      <c r="E69" s="6" t="inlineStr">
        <is>
          <t>Low</t>
        </is>
      </c>
    </row>
    <row r="70" ht="18" customHeight="1">
      <c r="A70" s="5" t="inlineStr">
        <is>
          <t>Compliance</t>
        </is>
      </c>
      <c r="B70" s="12" t="n">
        <v>24</v>
      </c>
      <c r="C70" s="5" t="inlineStr">
        <is>
          <t>Jessica Smith</t>
        </is>
      </c>
      <c r="D70" s="5" t="inlineStr">
        <is>
          <t>100.0%</t>
        </is>
      </c>
      <c r="E70" s="5" t="inlineStr">
        <is>
          <t>Low</t>
        </is>
      </c>
    </row>
    <row r="71" ht="18" customHeight="1">
      <c r="A71" s="6" t="inlineStr">
        <is>
          <t>Cash In</t>
        </is>
      </c>
      <c r="B71" s="13" t="n">
        <v>24</v>
      </c>
      <c r="C71" s="6" t="inlineStr">
        <is>
          <t>Christopher Smith</t>
        </is>
      </c>
      <c r="D71" s="6" t="inlineStr">
        <is>
          <t>100.0%</t>
        </is>
      </c>
      <c r="E71" s="6" t="inlineStr">
        <is>
          <t>Low</t>
        </is>
      </c>
    </row>
    <row r="72" ht="18" customHeight="1">
      <c r="A72" s="5" t="inlineStr">
        <is>
          <t>Other</t>
        </is>
      </c>
      <c r="B72" s="12" t="n">
        <v>24</v>
      </c>
      <c r="C72" s="5" t="inlineStr">
        <is>
          <t>Richard Smith</t>
        </is>
      </c>
      <c r="D72" s="5" t="inlineStr">
        <is>
          <t>100.0%</t>
        </is>
      </c>
      <c r="E72" s="5" t="inlineStr">
        <is>
          <t>Low</t>
        </is>
      </c>
    </row>
    <row r="73" ht="18" customHeight="1">
      <c r="A73" s="6" t="inlineStr">
        <is>
          <t>Infra</t>
        </is>
      </c>
      <c r="B73" s="13" t="n">
        <v>24</v>
      </c>
      <c r="C73" s="6" t="inlineStr">
        <is>
          <t>David Smith</t>
        </is>
      </c>
      <c r="D73" s="6" t="inlineStr">
        <is>
          <t>100.0%</t>
        </is>
      </c>
      <c r="E73" s="6" t="inlineStr">
        <is>
          <t>Low</t>
        </is>
      </c>
    </row>
    <row r="74" ht="18" customHeight="1">
      <c r="A74" s="5" t="inlineStr">
        <is>
          <t>Cardless Cash Out</t>
        </is>
      </c>
      <c r="B74" s="12" t="n">
        <v>24</v>
      </c>
      <c r="C74" s="5" t="inlineStr">
        <is>
          <t>Barbara Smith</t>
        </is>
      </c>
      <c r="D74" s="5" t="inlineStr">
        <is>
          <t>100.0%</t>
        </is>
      </c>
      <c r="E74" s="5" t="inlineStr">
        <is>
          <t>Low</t>
        </is>
      </c>
    </row>
    <row r="75" ht="18" customHeight="1">
      <c r="A75" s="6" t="inlineStr">
        <is>
          <t>Bill Payment</t>
        </is>
      </c>
      <c r="B75" s="13" t="n">
        <v>24</v>
      </c>
      <c r="C75" s="6" t="inlineStr">
        <is>
          <t>Daniel Smith</t>
        </is>
      </c>
      <c r="D75" s="6" t="inlineStr">
        <is>
          <t>100.0%</t>
        </is>
      </c>
      <c r="E75" s="6" t="inlineStr">
        <is>
          <t>Low</t>
        </is>
      </c>
    </row>
    <row r="76" ht="18" customHeight="1">
      <c r="A76" s="5" t="inlineStr">
        <is>
          <t>P2P Transfer</t>
        </is>
      </c>
      <c r="B76" s="12" t="n">
        <v>24</v>
      </c>
      <c r="C76" s="5" t="inlineStr">
        <is>
          <t>Sarah Smith</t>
        </is>
      </c>
      <c r="D76" s="5" t="inlineStr">
        <is>
          <t>100.0%</t>
        </is>
      </c>
      <c r="E76" s="5" t="inlineStr">
        <is>
          <t>Low</t>
        </is>
      </c>
    </row>
    <row r="77" ht="18" customHeight="1">
      <c r="A77" s="6" t="inlineStr">
        <is>
          <t>Cash Out</t>
        </is>
      </c>
      <c r="B77" s="13" t="n">
        <v>24</v>
      </c>
      <c r="C77" s="6" t="inlineStr">
        <is>
          <t>Joseph Smith</t>
        </is>
      </c>
      <c r="D77" s="6" t="inlineStr">
        <is>
          <t>100.0%</t>
        </is>
      </c>
      <c r="E77" s="6" t="inlineStr">
        <is>
          <t>Low</t>
        </is>
      </c>
    </row>
    <row r="78" ht="18" customHeight="1">
      <c r="A78" s="5" t="inlineStr">
        <is>
          <t>Internal Requests</t>
        </is>
      </c>
      <c r="B78" s="12" t="n">
        <v>23</v>
      </c>
      <c r="C78" s="5" t="inlineStr">
        <is>
          <t>Daniel Smith</t>
        </is>
      </c>
      <c r="D78" s="5" t="inlineStr">
        <is>
          <t>95.8%</t>
        </is>
      </c>
      <c r="E78" s="5" t="inlineStr">
        <is>
          <t>Low</t>
        </is>
      </c>
    </row>
    <row r="79" ht="18" customHeight="1">
      <c r="A79" s="6" t="inlineStr">
        <is>
          <t>Promotions</t>
        </is>
      </c>
      <c r="B79" s="13" t="n">
        <v>13</v>
      </c>
      <c r="C79" s="6" t="inlineStr">
        <is>
          <t>Joseph Smith</t>
        </is>
      </c>
      <c r="D79" s="6" t="inlineStr">
        <is>
          <t>54.2%</t>
        </is>
      </c>
      <c r="E79" s="6" t="inlineStr">
        <is>
          <t>Low</t>
        </is>
      </c>
    </row>
    <row r="80" ht="18" customHeight="1">
      <c r="A80" s="5" t="inlineStr">
        <is>
          <t>Customer Complaint</t>
        </is>
      </c>
      <c r="B80" s="12" t="n">
        <v>16</v>
      </c>
      <c r="C80" s="5" t="inlineStr">
        <is>
          <t>Joseph Smith</t>
        </is>
      </c>
      <c r="D80" s="5" t="inlineStr">
        <is>
          <t>66.7%</t>
        </is>
      </c>
      <c r="E80" s="5" t="inlineStr">
        <is>
          <t>Low</t>
        </is>
      </c>
    </row>
    <row r="81" ht="18" customHeight="1">
      <c r="A81" s="6" t="inlineStr">
        <is>
          <t>Fraud</t>
        </is>
      </c>
      <c r="B81" s="13" t="n">
        <v>7</v>
      </c>
      <c r="C81" s="6" t="inlineStr">
        <is>
          <t>Christopher Smith</t>
        </is>
      </c>
      <c r="D81" s="6" t="inlineStr">
        <is>
          <t>29.2%</t>
        </is>
      </c>
      <c r="E81" s="6" t="inlineStr">
        <is>
          <t>Low</t>
        </is>
      </c>
    </row>
    <row r="82" ht="18" customHeight="1">
      <c r="A82" s="5" t="inlineStr">
        <is>
          <t>Airtime Top-Up</t>
        </is>
      </c>
      <c r="B82" s="12" t="n">
        <v>5</v>
      </c>
      <c r="C82" s="5" t="inlineStr">
        <is>
          <t>Elizabeth Smith</t>
        </is>
      </c>
      <c r="D82" s="5" t="inlineStr">
        <is>
          <t>20.8%</t>
        </is>
      </c>
      <c r="E82" s="5" t="inlineStr">
        <is>
          <t>Low</t>
        </is>
      </c>
    </row>
    <row r="83" ht="10" customHeight="1"/>
    <row r="84" ht="26" customHeight="1">
      <c r="A84" s="3" t="inlineStr">
        <is>
          <t>可视化分析</t>
        </is>
      </c>
    </row>
    <row r="85" ht="16" customHeight="1">
      <c r="A85" s="8" t="inlineStr">
        <is>
          <t>工单量前10的人员 (按优先级分布)</t>
        </is>
      </c>
    </row>
    <row r="112" ht="16" customHeight="1">
      <c r="A112" s="8" t="inlineStr">
        <is>
          <t>绩效矩阵 (工单量 vs 平均解决时间)</t>
        </is>
      </c>
    </row>
    <row r="113">
      <c r="A113" s="14" t="inlineStr">
        <is>
          <t>人员技能热力图</t>
        </is>
      </c>
    </row>
    <row r="114">
      <c r="A114" t="inlineStr">
        <is>
          <t>处理人</t>
        </is>
      </c>
      <c r="B114" t="inlineStr">
        <is>
          <t>Account Management</t>
        </is>
      </c>
      <c r="C114" t="inlineStr">
        <is>
          <t>Airtime Top-Up</t>
        </is>
      </c>
      <c r="D114" t="inlineStr">
        <is>
          <t>Bill Payment</t>
        </is>
      </c>
      <c r="E114" t="inlineStr">
        <is>
          <t>Card</t>
        </is>
      </c>
      <c r="F114" t="inlineStr">
        <is>
          <t>Cardless Cash Out</t>
        </is>
      </c>
      <c r="G114" t="inlineStr">
        <is>
          <t>Cash In</t>
        </is>
      </c>
      <c r="H114" t="inlineStr">
        <is>
          <t>Cash Out</t>
        </is>
      </c>
      <c r="I114" t="inlineStr">
        <is>
          <t>Compliance</t>
        </is>
      </c>
      <c r="J114" t="inlineStr">
        <is>
          <t>Customer Complaint</t>
        </is>
      </c>
      <c r="K114" t="inlineStr">
        <is>
          <t>Digital View Monitoring</t>
        </is>
      </c>
      <c r="L114" t="inlineStr">
        <is>
          <t>Fraud</t>
        </is>
      </c>
      <c r="M114" t="inlineStr">
        <is>
          <t>Infra</t>
        </is>
      </c>
      <c r="N114" t="inlineStr">
        <is>
          <t>Internal Requests</t>
        </is>
      </c>
      <c r="O114" t="inlineStr">
        <is>
          <t>International Money Transfer</t>
        </is>
      </c>
      <c r="P114" t="inlineStr">
        <is>
          <t>Onboarding</t>
        </is>
      </c>
      <c r="Q114" t="inlineStr">
        <is>
          <t>Other</t>
        </is>
      </c>
      <c r="R114" t="inlineStr">
        <is>
          <t>Outward Fund transfer</t>
        </is>
      </c>
      <c r="S114" t="inlineStr">
        <is>
          <t>P2P Transfer</t>
        </is>
      </c>
      <c r="T114" t="inlineStr">
        <is>
          <t>Promotions</t>
        </is>
      </c>
    </row>
    <row r="115">
      <c r="A115" t="inlineStr">
        <is>
          <t>Charles Smith</t>
        </is>
      </c>
      <c r="B115" t="n">
        <v>12</v>
      </c>
      <c r="C115" t="n">
        <v>0</v>
      </c>
      <c r="D115" t="n">
        <v>3</v>
      </c>
      <c r="E115" t="n">
        <v>27</v>
      </c>
      <c r="F115" t="n">
        <v>14</v>
      </c>
      <c r="G115" t="n">
        <v>14</v>
      </c>
      <c r="H115" t="n">
        <v>1</v>
      </c>
      <c r="I115" t="n">
        <v>15</v>
      </c>
      <c r="J115" t="n">
        <v>1</v>
      </c>
      <c r="K115" t="n">
        <v>179</v>
      </c>
      <c r="L115" t="n">
        <v>1</v>
      </c>
      <c r="M115" t="n">
        <v>5</v>
      </c>
      <c r="N115" t="n">
        <v>0</v>
      </c>
      <c r="O115" t="n">
        <v>41</v>
      </c>
      <c r="P115" t="n">
        <v>21</v>
      </c>
      <c r="Q115" t="n">
        <v>26</v>
      </c>
      <c r="R115" t="n">
        <v>17</v>
      </c>
      <c r="S115" t="n">
        <v>2</v>
      </c>
      <c r="T115" t="n">
        <v>2</v>
      </c>
    </row>
    <row r="116">
      <c r="A116" t="inlineStr">
        <is>
          <t>Christopher Smith</t>
        </is>
      </c>
      <c r="B116" t="n">
        <v>13</v>
      </c>
      <c r="C116" t="n">
        <v>0</v>
      </c>
      <c r="D116" t="n">
        <v>3</v>
      </c>
      <c r="E116" t="n">
        <v>33</v>
      </c>
      <c r="F116" t="n">
        <v>16</v>
      </c>
      <c r="G116" t="n">
        <v>26</v>
      </c>
      <c r="H116" t="n">
        <v>2</v>
      </c>
      <c r="I116" t="n">
        <v>8</v>
      </c>
      <c r="J116" t="n">
        <v>3</v>
      </c>
      <c r="K116" t="n">
        <v>165</v>
      </c>
      <c r="L116" t="n">
        <v>1</v>
      </c>
      <c r="M116" t="n">
        <v>6</v>
      </c>
      <c r="N116" t="n">
        <v>3</v>
      </c>
      <c r="O116" t="n">
        <v>28</v>
      </c>
      <c r="P116" t="n">
        <v>31</v>
      </c>
      <c r="Q116" t="n">
        <v>26</v>
      </c>
      <c r="R116" t="n">
        <v>15</v>
      </c>
      <c r="S116" t="n">
        <v>5</v>
      </c>
      <c r="T116" t="n">
        <v>0</v>
      </c>
    </row>
    <row r="117">
      <c r="A117" t="inlineStr">
        <is>
          <t>Elizabeth Smith</t>
        </is>
      </c>
      <c r="B117" t="n">
        <v>13</v>
      </c>
      <c r="C117" t="n">
        <v>1</v>
      </c>
      <c r="D117" t="n">
        <v>2</v>
      </c>
      <c r="E117" t="n">
        <v>39</v>
      </c>
      <c r="F117" t="n">
        <v>8</v>
      </c>
      <c r="G117" t="n">
        <v>19</v>
      </c>
      <c r="H117" t="n">
        <v>3</v>
      </c>
      <c r="I117" t="n">
        <v>13</v>
      </c>
      <c r="J117" t="n">
        <v>1</v>
      </c>
      <c r="K117" t="n">
        <v>164</v>
      </c>
      <c r="L117" t="n">
        <v>1</v>
      </c>
      <c r="M117" t="n">
        <v>9</v>
      </c>
      <c r="N117" t="n">
        <v>2</v>
      </c>
      <c r="O117" t="n">
        <v>37</v>
      </c>
      <c r="P117" t="n">
        <v>29</v>
      </c>
      <c r="Q117" t="n">
        <v>22</v>
      </c>
      <c r="R117" t="n">
        <v>13</v>
      </c>
      <c r="S117" t="n">
        <v>5</v>
      </c>
      <c r="T117" t="n">
        <v>0</v>
      </c>
    </row>
    <row r="118">
      <c r="A118" t="inlineStr">
        <is>
          <t>James Smith</t>
        </is>
      </c>
      <c r="B118" t="n">
        <v>13</v>
      </c>
      <c r="C118" t="n">
        <v>0</v>
      </c>
      <c r="D118" t="n">
        <v>3</v>
      </c>
      <c r="E118" t="n">
        <v>31</v>
      </c>
      <c r="F118" t="n">
        <v>17</v>
      </c>
      <c r="G118" t="n">
        <v>16</v>
      </c>
      <c r="H118" t="n">
        <v>1</v>
      </c>
      <c r="I118" t="n">
        <v>10</v>
      </c>
      <c r="J118" t="n">
        <v>0</v>
      </c>
      <c r="K118" t="n">
        <v>171</v>
      </c>
      <c r="L118" t="n">
        <v>0</v>
      </c>
      <c r="M118" t="n">
        <v>5</v>
      </c>
      <c r="N118" t="n">
        <v>3</v>
      </c>
      <c r="O118" t="n">
        <v>38</v>
      </c>
      <c r="P118" t="n">
        <v>32</v>
      </c>
      <c r="Q118" t="n">
        <v>26</v>
      </c>
      <c r="R118" t="n">
        <v>16</v>
      </c>
      <c r="S118" t="n">
        <v>3</v>
      </c>
      <c r="T118" t="n">
        <v>0</v>
      </c>
    </row>
    <row r="119">
      <c r="A119" t="inlineStr">
        <is>
          <t>Jessica Smith</t>
        </is>
      </c>
      <c r="B119" t="n">
        <v>14</v>
      </c>
      <c r="C119" t="n">
        <v>0</v>
      </c>
      <c r="D119" t="n">
        <v>4</v>
      </c>
      <c r="E119" t="n">
        <v>44</v>
      </c>
      <c r="F119" t="n">
        <v>13</v>
      </c>
      <c r="G119" t="n">
        <v>16</v>
      </c>
      <c r="H119" t="n">
        <v>2</v>
      </c>
      <c r="I119" t="n">
        <v>17</v>
      </c>
      <c r="J119" t="n">
        <v>0</v>
      </c>
      <c r="K119" t="n">
        <v>176</v>
      </c>
      <c r="L119" t="n">
        <v>0</v>
      </c>
      <c r="M119" t="n">
        <v>6</v>
      </c>
      <c r="N119" t="n">
        <v>2</v>
      </c>
      <c r="O119" t="n">
        <v>41</v>
      </c>
      <c r="P119" t="n">
        <v>33</v>
      </c>
      <c r="Q119" t="n">
        <v>26</v>
      </c>
      <c r="R119" t="n">
        <v>15</v>
      </c>
      <c r="S119" t="n">
        <v>4</v>
      </c>
      <c r="T119" t="n">
        <v>1</v>
      </c>
    </row>
    <row r="120">
      <c r="A120" t="inlineStr">
        <is>
          <t>Joseph Smith</t>
        </is>
      </c>
      <c r="B120" t="n">
        <v>10</v>
      </c>
      <c r="C120" t="n">
        <v>0</v>
      </c>
      <c r="D120" t="n">
        <v>3</v>
      </c>
      <c r="E120" t="n">
        <v>40</v>
      </c>
      <c r="F120" t="n">
        <v>19</v>
      </c>
      <c r="G120" t="n">
        <v>10</v>
      </c>
      <c r="H120" t="n">
        <v>5</v>
      </c>
      <c r="I120" t="n">
        <v>8</v>
      </c>
      <c r="J120" t="n">
        <v>5</v>
      </c>
      <c r="K120" t="n">
        <v>173</v>
      </c>
      <c r="L120" t="n">
        <v>0</v>
      </c>
      <c r="M120" t="n">
        <v>10</v>
      </c>
      <c r="N120" t="n">
        <v>2</v>
      </c>
      <c r="O120" t="n">
        <v>27</v>
      </c>
      <c r="P120" t="n">
        <v>39</v>
      </c>
      <c r="Q120" t="n">
        <v>25</v>
      </c>
      <c r="R120" t="n">
        <v>10</v>
      </c>
      <c r="S120" t="n">
        <v>3</v>
      </c>
      <c r="T120" t="n">
        <v>4</v>
      </c>
    </row>
    <row r="121">
      <c r="A121" t="inlineStr">
        <is>
          <t>Karen Smith</t>
        </is>
      </c>
      <c r="B121" t="n">
        <v>21</v>
      </c>
      <c r="C121" t="n">
        <v>0</v>
      </c>
      <c r="D121" t="n">
        <v>3</v>
      </c>
      <c r="E121" t="n">
        <v>30</v>
      </c>
      <c r="F121" t="n">
        <v>16</v>
      </c>
      <c r="G121" t="n">
        <v>15</v>
      </c>
      <c r="H121" t="n">
        <v>1</v>
      </c>
      <c r="I121" t="n">
        <v>7</v>
      </c>
      <c r="J121" t="n">
        <v>3</v>
      </c>
      <c r="K121" t="n">
        <v>161</v>
      </c>
      <c r="L121" t="n">
        <v>0</v>
      </c>
      <c r="M121" t="n">
        <v>11</v>
      </c>
      <c r="N121" t="n">
        <v>1</v>
      </c>
      <c r="O121" t="n">
        <v>35</v>
      </c>
      <c r="P121" t="n">
        <v>36</v>
      </c>
      <c r="Q121" t="n">
        <v>25</v>
      </c>
      <c r="R121" t="n">
        <v>10</v>
      </c>
      <c r="S121" t="n">
        <v>2</v>
      </c>
      <c r="T121" t="n">
        <v>2</v>
      </c>
    </row>
    <row r="122">
      <c r="A122" t="inlineStr">
        <is>
          <t>Lisa Smith</t>
        </is>
      </c>
      <c r="B122" t="n">
        <v>12</v>
      </c>
      <c r="C122" t="n">
        <v>0</v>
      </c>
      <c r="D122" t="n">
        <v>1</v>
      </c>
      <c r="E122" t="n">
        <v>35</v>
      </c>
      <c r="F122" t="n">
        <v>10</v>
      </c>
      <c r="G122" t="n">
        <v>15</v>
      </c>
      <c r="H122" t="n">
        <v>4</v>
      </c>
      <c r="I122" t="n">
        <v>6</v>
      </c>
      <c r="J122" t="n">
        <v>0</v>
      </c>
      <c r="K122" t="n">
        <v>174</v>
      </c>
      <c r="L122" t="n">
        <v>0</v>
      </c>
      <c r="M122" t="n">
        <v>11</v>
      </c>
      <c r="N122" t="n">
        <v>1</v>
      </c>
      <c r="O122" t="n">
        <v>33</v>
      </c>
      <c r="P122" t="n">
        <v>34</v>
      </c>
      <c r="Q122" t="n">
        <v>21</v>
      </c>
      <c r="R122" t="n">
        <v>14</v>
      </c>
      <c r="S122" t="n">
        <v>3</v>
      </c>
      <c r="T122" t="n">
        <v>1</v>
      </c>
    </row>
    <row r="123">
      <c r="A123" t="inlineStr">
        <is>
          <t>Michael Smith</t>
        </is>
      </c>
      <c r="B123" t="n">
        <v>11</v>
      </c>
      <c r="C123" t="n">
        <v>1</v>
      </c>
      <c r="D123" t="n">
        <v>5</v>
      </c>
      <c r="E123" t="n">
        <v>27</v>
      </c>
      <c r="F123" t="n">
        <v>10</v>
      </c>
      <c r="G123" t="n">
        <v>21</v>
      </c>
      <c r="H123" t="n">
        <v>2</v>
      </c>
      <c r="I123" t="n">
        <v>15</v>
      </c>
      <c r="J123" t="n">
        <v>1</v>
      </c>
      <c r="K123" t="n">
        <v>179</v>
      </c>
      <c r="L123" t="n">
        <v>0</v>
      </c>
      <c r="M123" t="n">
        <v>8</v>
      </c>
      <c r="N123" t="n">
        <v>1</v>
      </c>
      <c r="O123" t="n">
        <v>34</v>
      </c>
      <c r="P123" t="n">
        <v>26</v>
      </c>
      <c r="Q123" t="n">
        <v>28</v>
      </c>
      <c r="R123" t="n">
        <v>13</v>
      </c>
      <c r="S123" t="n">
        <v>3</v>
      </c>
      <c r="T123" t="n">
        <v>0</v>
      </c>
    </row>
    <row r="124">
      <c r="A124" t="inlineStr">
        <is>
          <t>Nancy Smith</t>
        </is>
      </c>
      <c r="B124" t="n">
        <v>11</v>
      </c>
      <c r="C124" t="n">
        <v>0</v>
      </c>
      <c r="D124" t="n">
        <v>3</v>
      </c>
      <c r="E124" t="n">
        <v>26</v>
      </c>
      <c r="F124" t="n">
        <v>10</v>
      </c>
      <c r="G124" t="n">
        <v>14</v>
      </c>
      <c r="H124" t="n">
        <v>5</v>
      </c>
      <c r="I124" t="n">
        <v>10</v>
      </c>
      <c r="J124" t="n">
        <v>0</v>
      </c>
      <c r="K124" t="n">
        <v>163</v>
      </c>
      <c r="L124" t="n">
        <v>0</v>
      </c>
      <c r="M124" t="n">
        <v>10</v>
      </c>
      <c r="N124" t="n">
        <v>4</v>
      </c>
      <c r="O124" t="n">
        <v>40</v>
      </c>
      <c r="P124" t="n">
        <v>35</v>
      </c>
      <c r="Q124" t="n">
        <v>34</v>
      </c>
      <c r="R124" t="n">
        <v>12</v>
      </c>
      <c r="S124" t="n">
        <v>3</v>
      </c>
      <c r="T124" t="n">
        <v>0</v>
      </c>
    </row>
    <row r="125">
      <c r="A125" t="inlineStr">
        <is>
          <t>Patricia Smith</t>
        </is>
      </c>
      <c r="B125" t="n">
        <v>9</v>
      </c>
      <c r="C125" t="n">
        <v>0</v>
      </c>
      <c r="D125" t="n">
        <v>5</v>
      </c>
      <c r="E125" t="n">
        <v>36</v>
      </c>
      <c r="F125" t="n">
        <v>7</v>
      </c>
      <c r="G125" t="n">
        <v>12</v>
      </c>
      <c r="H125" t="n">
        <v>3</v>
      </c>
      <c r="I125" t="n">
        <v>7</v>
      </c>
      <c r="J125" t="n">
        <v>0</v>
      </c>
      <c r="K125" t="n">
        <v>171</v>
      </c>
      <c r="L125" t="n">
        <v>0</v>
      </c>
      <c r="M125" t="n">
        <v>8</v>
      </c>
      <c r="N125" t="n">
        <v>1</v>
      </c>
      <c r="O125" t="n">
        <v>33</v>
      </c>
      <c r="P125" t="n">
        <v>32</v>
      </c>
      <c r="Q125" t="n">
        <v>30</v>
      </c>
      <c r="R125" t="n">
        <v>20</v>
      </c>
      <c r="S125" t="n">
        <v>2</v>
      </c>
      <c r="T125" t="n">
        <v>0</v>
      </c>
    </row>
    <row r="126">
      <c r="A126" t="inlineStr">
        <is>
          <t>Richard Smith</t>
        </is>
      </c>
      <c r="B126" t="n">
        <v>10</v>
      </c>
      <c r="C126" t="n">
        <v>0</v>
      </c>
      <c r="D126" t="n">
        <v>2</v>
      </c>
      <c r="E126" t="n">
        <v>35</v>
      </c>
      <c r="F126" t="n">
        <v>13</v>
      </c>
      <c r="G126" t="n">
        <v>20</v>
      </c>
      <c r="H126" t="n">
        <v>1</v>
      </c>
      <c r="I126" t="n">
        <v>7</v>
      </c>
      <c r="J126" t="n">
        <v>3</v>
      </c>
      <c r="K126" t="n">
        <v>163</v>
      </c>
      <c r="L126" t="n">
        <v>0</v>
      </c>
      <c r="M126" t="n">
        <v>7</v>
      </c>
      <c r="N126" t="n">
        <v>4</v>
      </c>
      <c r="O126" t="n">
        <v>41</v>
      </c>
      <c r="P126" t="n">
        <v>30</v>
      </c>
      <c r="Q126" t="n">
        <v>37</v>
      </c>
      <c r="R126" t="n">
        <v>12</v>
      </c>
      <c r="S126" t="n">
        <v>8</v>
      </c>
      <c r="T126" t="n">
        <v>2</v>
      </c>
    </row>
    <row r="127">
      <c r="A127" t="inlineStr">
        <is>
          <t>Sarah Smith</t>
        </is>
      </c>
      <c r="B127" t="n">
        <v>10</v>
      </c>
      <c r="C127" t="n">
        <v>1</v>
      </c>
      <c r="D127" t="n">
        <v>4</v>
      </c>
      <c r="E127" t="n">
        <v>29</v>
      </c>
      <c r="F127" t="n">
        <v>18</v>
      </c>
      <c r="G127" t="n">
        <v>20</v>
      </c>
      <c r="H127" t="n">
        <v>3</v>
      </c>
      <c r="I127" t="n">
        <v>11</v>
      </c>
      <c r="J127" t="n">
        <v>1</v>
      </c>
      <c r="K127" t="n">
        <v>149</v>
      </c>
      <c r="L127" t="n">
        <v>1</v>
      </c>
      <c r="M127" t="n">
        <v>8</v>
      </c>
      <c r="N127" t="n">
        <v>1</v>
      </c>
      <c r="O127" t="n">
        <v>44</v>
      </c>
      <c r="P127" t="n">
        <v>29</v>
      </c>
      <c r="Q127" t="n">
        <v>28</v>
      </c>
      <c r="R127" t="n">
        <v>14</v>
      </c>
      <c r="S127" t="n">
        <v>8</v>
      </c>
      <c r="T127" t="n">
        <v>0</v>
      </c>
    </row>
    <row r="128">
      <c r="A128" t="inlineStr">
        <is>
          <t>Thomas Smith</t>
        </is>
      </c>
      <c r="B128" t="n">
        <v>6</v>
      </c>
      <c r="C128" t="n">
        <v>0</v>
      </c>
      <c r="D128" t="n">
        <v>3</v>
      </c>
      <c r="E128" t="n">
        <v>29</v>
      </c>
      <c r="F128" t="n">
        <v>12</v>
      </c>
      <c r="G128" t="n">
        <v>22</v>
      </c>
      <c r="H128" t="n">
        <v>2</v>
      </c>
      <c r="I128" t="n">
        <v>6</v>
      </c>
      <c r="J128" t="n">
        <v>3</v>
      </c>
      <c r="K128" t="n">
        <v>197</v>
      </c>
      <c r="L128" t="n">
        <v>0</v>
      </c>
      <c r="M128" t="n">
        <v>6</v>
      </c>
      <c r="N128" t="n">
        <v>2</v>
      </c>
      <c r="O128" t="n">
        <v>35</v>
      </c>
      <c r="P128" t="n">
        <v>20</v>
      </c>
      <c r="Q128" t="n">
        <v>29</v>
      </c>
      <c r="R128" t="n">
        <v>13</v>
      </c>
      <c r="S128" t="n">
        <v>3</v>
      </c>
      <c r="T128" t="n">
        <v>1</v>
      </c>
    </row>
    <row r="129">
      <c r="A129" t="inlineStr">
        <is>
          <t>William Smith</t>
        </is>
      </c>
      <c r="B129" t="n">
        <v>11</v>
      </c>
      <c r="C129" t="n">
        <v>0</v>
      </c>
      <c r="D129" t="n">
        <v>3</v>
      </c>
      <c r="E129" t="n">
        <v>35</v>
      </c>
      <c r="F129" t="n">
        <v>15</v>
      </c>
      <c r="G129" t="n">
        <v>22</v>
      </c>
      <c r="H129" t="n">
        <v>1</v>
      </c>
      <c r="I129" t="n">
        <v>8</v>
      </c>
      <c r="J129" t="n">
        <v>0</v>
      </c>
      <c r="K129" t="n">
        <v>173</v>
      </c>
      <c r="L129" t="n">
        <v>0</v>
      </c>
      <c r="M129" t="n">
        <v>6</v>
      </c>
      <c r="N129" t="n">
        <v>5</v>
      </c>
      <c r="O129" t="n">
        <v>27</v>
      </c>
      <c r="P129" t="n">
        <v>27</v>
      </c>
      <c r="Q129" t="n">
        <v>23</v>
      </c>
      <c r="R129" t="n">
        <v>17</v>
      </c>
      <c r="S129" t="n">
        <v>2</v>
      </c>
      <c r="T129" t="n">
        <v>2</v>
      </c>
    </row>
    <row r="131" ht="10" customHeight="1"/>
    <row r="132" ht="26" customHeight="1">
      <c r="A132" s="9" t="inlineStr">
        <is>
          <t>🤖 AI 洞察分析</t>
        </is>
      </c>
    </row>
    <row r="133" ht="30" customHeight="1">
      <c r="A133" s="10" t="inlineStr">
        <is>
          <t>📌 发现：</t>
        </is>
      </c>
    </row>
    <row r="134" ht="30" customHeight="1">
      <c r="A134" s="15" t="inlineStr">
        <is>
          <t>1.  **事件处理工作量异常集中**：数据显示，事件（Incidents）数量高达8977起，而变更（Changes）和请求（Requests）数量均为50起，问题（Problems）数量为50起。事件数量是其他三类工作项总和的近90倍（8977 vs. 150），表明团队绝大部分精力被被动、重复的故障响应所占据，主动性和战略性工作（如变更、问题管理）严重不足。</t>
        </is>
      </c>
    </row>
    <row r="135" ht="30" customHeight="1">
      <c r="A135" s="15" t="inlineStr">
        <is>
          <t>2.  **服务健康状态面临风险**：服务健康等级（Health Grade）被评定为“At Risk”（面临风险）。结合事件量的绝对主导地位，这直接反映出当前服务稳定性存在显著问题，高频次的事件正在持续消耗运维资源并威胁业务连续性，导致整体服务交付质量处于危险边缘。</t>
        </is>
      </c>
    </row>
    <row r="136" ht="6" customHeight="1"/>
    <row r="137" ht="30" customHeight="1">
      <c r="A137" s="10" t="inlineStr">
        <is>
          <t>🔍 原因：</t>
        </is>
      </c>
    </row>
    <row r="138" ht="30" customHeight="1">
      <c r="A138" s="15" t="inlineStr">
        <is>
          <t>1.  **技术层面 - 系统稳定性与监控成熟度不足**：事件数量（8977）的绝对优势是服务健康“At Risk”的直接体现。这通常指向底层基础设施或应用架构存在固有缺陷、监控告警策略过于敏感（产生大量噪音告警）、或自动化修复能力缺失，导致大量初级、重复性故障需要人工介入。变更（50）与问题（50）数量极低，进一步说明团队缺乏带宽对根因进行深入分析（问题管理）和实施结构性改进（变更管理），陷入“救火-再救火”的恶性循环。</t>
        </is>
      </c>
    </row>
    <row r="139" ht="30" customHeight="1">
      <c r="A139" s="15" t="inlineStr">
        <is>
          <t>2.  **流程与管理层面 - 工作流失衡与资源错配**：工作项类型的极端比例（事件占比约98.4%）揭示了流程执行的严重失衡。IT服务管理（ITSM）流程可能未能有效引导团队从事后响应转向事前预防。管理上，资源几乎全部被配置用于事件响应，导致用于减少事件根本原因的问题管理流程（目标：防止事件复发）和用于安全引入改进的变更管理流程无法有效开展。这种模式不可持续，是人员负荷过重和服务质量风险的深层管理原因。</t>
        </is>
      </c>
    </row>
    <row r="140" ht="6" customHeight="1"/>
    <row r="141" ht="30" customHeight="1">
      <c r="A141" s="10" t="inlineStr">
        <is>
          <t>💡 建议：</t>
        </is>
      </c>
    </row>
    <row r="142" ht="30" customHeight="1">
      <c r="A142" s="15" t="inlineStr">
        <is>
          <t>1.  立即启动事件分类与根因分析专项，识别并优先处理高频或高影响事件的根源，将资源向问题管理流程倾斜。</t>
        </is>
      </c>
    </row>
    <row r="143" ht="30" customHeight="1">
      <c r="A143" s="15" t="inlineStr">
        <is>
          <t>2.  评估并优化监控告警策略，减少噪音告警，并探索在常见事件场景中实施自动化响应，以释放人力。</t>
        </is>
      </c>
    </row>
    <row r="144" ht="6" customHeight="1"/>
    <row r="145" ht="30" customHeight="1">
      <c r="A145" s="10" t="inlineStr">
        <is>
          <t>📈 预期：通过上述措施，力争在下一周期将事件总数减少20%以上，并使服务健康等级脱离“At Risk”状态。</t>
        </is>
      </c>
    </row>
    <row r="146" ht="10" customHeight="1"/>
    <row r="147" ht="10" customHeight="1"/>
    <row r="148">
      <c r="A148" s="11" t="inlineStr">
        <is>
          <t>由客户跨流程总览报告生成 • 2026-02-04 13:18</t>
        </is>
      </c>
    </row>
  </sheetData>
  <mergeCells count="22">
    <mergeCell ref="A85:J85"/>
    <mergeCell ref="A5:J5"/>
    <mergeCell ref="A32:J32"/>
    <mergeCell ref="A141:J141"/>
    <mergeCell ref="A135:J135"/>
    <mergeCell ref="A62:J62"/>
    <mergeCell ref="A4:J4"/>
    <mergeCell ref="A134:J134"/>
    <mergeCell ref="A112:J112"/>
    <mergeCell ref="A143:J143"/>
    <mergeCell ref="A148:J148"/>
    <mergeCell ref="A142:J142"/>
    <mergeCell ref="A138:J138"/>
    <mergeCell ref="A1:J1"/>
    <mergeCell ref="A132:J132"/>
    <mergeCell ref="A137:J137"/>
    <mergeCell ref="A133:J133"/>
    <mergeCell ref="A84:J84"/>
    <mergeCell ref="A145:J145"/>
    <mergeCell ref="A139:J139"/>
    <mergeCell ref="A55:J55"/>
    <mergeCell ref="A2:J2"/>
  </mergeCells>
  <conditionalFormatting sqref="B115:T129">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ec4899"/>
    <outlinePr summaryBelow="1" summaryRight="1"/>
    <pageSetUpPr fitToPage="1"/>
  </sheetPr>
  <dimension ref="A1:J142"/>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CRO_时间维度</t>
        </is>
      </c>
    </row>
    <row r="2" ht="22" customHeight="1">
      <c r="A2" s="2" t="inlineStr">
        <is>
          <t>2024-04-19 — 2025-07-06</t>
        </is>
      </c>
    </row>
    <row r="3" ht="10" customHeight="1"/>
    <row r="4" ht="26" customHeight="1">
      <c r="A4" s="3" t="inlineStr">
        <is>
          <t>数据表格</t>
        </is>
      </c>
    </row>
    <row r="5" ht="26" customHeight="1">
      <c r="A5" s="3" t="inlineStr">
        <is>
          <t>月度趋势</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2" t="n">
        <v>195</v>
      </c>
      <c r="C7" s="12" t="n">
        <v>0</v>
      </c>
      <c r="D7" s="12" t="n">
        <v>0</v>
      </c>
      <c r="E7" s="12" t="n">
        <v>0</v>
      </c>
      <c r="F7" s="5" t="inlineStr">
        <is>
          <t>46.2%</t>
        </is>
      </c>
      <c r="G7" s="5" t="inlineStr">
        <is>
          <t>5.9天</t>
        </is>
      </c>
      <c r="H7" s="5" t="inlineStr">
        <is>
          <t>22.6%</t>
        </is>
      </c>
      <c r="I7" s="5" t="inlineStr">
        <is>
          <t>N/A</t>
        </is>
      </c>
      <c r="J7" s="5" t="inlineStr"/>
    </row>
    <row r="8" ht="18" customHeight="1">
      <c r="A8" s="6" t="inlineStr">
        <is>
          <t>2024-05</t>
        </is>
      </c>
      <c r="B8" s="13" t="n">
        <v>725</v>
      </c>
      <c r="C8" s="13" t="n">
        <v>0</v>
      </c>
      <c r="D8" s="13" t="n">
        <v>0</v>
      </c>
      <c r="E8" s="13" t="n">
        <v>0</v>
      </c>
      <c r="F8" s="6" t="inlineStr">
        <is>
          <t>60.3%</t>
        </is>
      </c>
      <c r="G8" s="6" t="inlineStr">
        <is>
          <t>2.4天</t>
        </is>
      </c>
      <c r="H8" s="6" t="inlineStr">
        <is>
          <t>18.1%</t>
        </is>
      </c>
      <c r="I8" s="6" t="inlineStr">
        <is>
          <t>+271.8%</t>
        </is>
      </c>
      <c r="J8" s="6" t="inlineStr">
        <is>
          <t>Increasing</t>
        </is>
      </c>
    </row>
    <row r="9" ht="18" customHeight="1">
      <c r="A9" s="5" t="inlineStr">
        <is>
          <t>2024-06</t>
        </is>
      </c>
      <c r="B9" s="12" t="n">
        <v>924</v>
      </c>
      <c r="C9" s="12" t="n">
        <v>0</v>
      </c>
      <c r="D9" s="12" t="n">
        <v>0</v>
      </c>
      <c r="E9" s="12" t="n">
        <v>0</v>
      </c>
      <c r="F9" s="5" t="inlineStr">
        <is>
          <t>62.9%</t>
        </is>
      </c>
      <c r="G9" s="5" t="inlineStr">
        <is>
          <t>25.2小时</t>
        </is>
      </c>
      <c r="H9" s="5" t="inlineStr">
        <is>
          <t>20.6%</t>
        </is>
      </c>
      <c r="I9" s="5" t="inlineStr">
        <is>
          <t>+27.4%</t>
        </is>
      </c>
      <c r="J9" s="5" t="inlineStr">
        <is>
          <t>Increasing</t>
        </is>
      </c>
    </row>
    <row r="10" ht="18" customHeight="1">
      <c r="A10" s="6" t="inlineStr">
        <is>
          <t>2024-07</t>
        </is>
      </c>
      <c r="B10" s="13" t="n">
        <v>1007</v>
      </c>
      <c r="C10" s="13" t="n">
        <v>0</v>
      </c>
      <c r="D10" s="13" t="n">
        <v>0</v>
      </c>
      <c r="E10" s="13" t="n">
        <v>0</v>
      </c>
      <c r="F10" s="6" t="inlineStr">
        <is>
          <t>64.3%</t>
        </is>
      </c>
      <c r="G10" s="6" t="inlineStr">
        <is>
          <t>24.3小时</t>
        </is>
      </c>
      <c r="H10" s="6" t="inlineStr">
        <is>
          <t>20.4%</t>
        </is>
      </c>
      <c r="I10" s="6" t="inlineStr">
        <is>
          <t>+9.0%</t>
        </is>
      </c>
      <c r="J10" s="6" t="inlineStr">
        <is>
          <t>Increasing</t>
        </is>
      </c>
    </row>
    <row r="11" ht="18" customHeight="1">
      <c r="A11" s="5" t="inlineStr">
        <is>
          <t>2024-08</t>
        </is>
      </c>
      <c r="B11" s="12" t="n">
        <v>712</v>
      </c>
      <c r="C11" s="12" t="n">
        <v>0</v>
      </c>
      <c r="D11" s="12" t="n">
        <v>0</v>
      </c>
      <c r="E11" s="12" t="n">
        <v>0</v>
      </c>
      <c r="F11" s="5" t="inlineStr">
        <is>
          <t>62.8%</t>
        </is>
      </c>
      <c r="G11" s="5" t="inlineStr">
        <is>
          <t>24.7小时</t>
        </is>
      </c>
      <c r="H11" s="5" t="inlineStr">
        <is>
          <t>21.1%</t>
        </is>
      </c>
      <c r="I11" s="5" t="inlineStr">
        <is>
          <t>-29.3%</t>
        </is>
      </c>
      <c r="J11" s="5" t="inlineStr">
        <is>
          <t>Improving</t>
        </is>
      </c>
    </row>
    <row r="12" ht="18" customHeight="1">
      <c r="A12" s="6" t="inlineStr">
        <is>
          <t>2024-09</t>
        </is>
      </c>
      <c r="B12" s="13" t="n">
        <v>621</v>
      </c>
      <c r="C12" s="13" t="n">
        <v>0</v>
      </c>
      <c r="D12" s="13" t="n">
        <v>0</v>
      </c>
      <c r="E12" s="13" t="n">
        <v>0</v>
      </c>
      <c r="F12" s="6" t="inlineStr">
        <is>
          <t>74.6%</t>
        </is>
      </c>
      <c r="G12" s="6" t="inlineStr">
        <is>
          <t>16.8小时</t>
        </is>
      </c>
      <c r="H12" s="6" t="inlineStr">
        <is>
          <t>21.7%</t>
        </is>
      </c>
      <c r="I12" s="6" t="inlineStr">
        <is>
          <t>-12.8%</t>
        </is>
      </c>
      <c r="J12" s="6" t="inlineStr">
        <is>
          <t>Improving</t>
        </is>
      </c>
    </row>
    <row r="13" ht="18" customHeight="1">
      <c r="A13" s="5" t="inlineStr">
        <is>
          <t>2024-10</t>
        </is>
      </c>
      <c r="B13" s="12" t="n">
        <v>542</v>
      </c>
      <c r="C13" s="12" t="n">
        <v>0</v>
      </c>
      <c r="D13" s="12" t="n">
        <v>0</v>
      </c>
      <c r="E13" s="12" t="n">
        <v>0</v>
      </c>
      <c r="F13" s="5" t="inlineStr">
        <is>
          <t>69.4%</t>
        </is>
      </c>
      <c r="G13" s="5" t="inlineStr">
        <is>
          <t>20.3小时</t>
        </is>
      </c>
      <c r="H13" s="5" t="inlineStr">
        <is>
          <t>19.0%</t>
        </is>
      </c>
      <c r="I13" s="5" t="inlineStr">
        <is>
          <t>-12.7%</t>
        </is>
      </c>
      <c r="J13" s="5" t="inlineStr">
        <is>
          <t>Improving</t>
        </is>
      </c>
    </row>
    <row r="14" ht="18" customHeight="1">
      <c r="A14" s="6" t="inlineStr">
        <is>
          <t>2024-11</t>
        </is>
      </c>
      <c r="B14" s="13" t="n">
        <v>441</v>
      </c>
      <c r="C14" s="13" t="n">
        <v>7</v>
      </c>
      <c r="D14" s="13" t="n">
        <v>9</v>
      </c>
      <c r="E14" s="13" t="n">
        <v>11</v>
      </c>
      <c r="F14" s="6" t="inlineStr">
        <is>
          <t>65.8%</t>
        </is>
      </c>
      <c r="G14" s="6" t="inlineStr">
        <is>
          <t>23.8小时</t>
        </is>
      </c>
      <c r="H14" s="6" t="inlineStr">
        <is>
          <t>17.7%</t>
        </is>
      </c>
      <c r="I14" s="6" t="inlineStr">
        <is>
          <t>-18.6%</t>
        </is>
      </c>
      <c r="J14" s="6" t="inlineStr">
        <is>
          <t>Improving</t>
        </is>
      </c>
    </row>
    <row r="15" ht="18" customHeight="1">
      <c r="A15" s="5" t="inlineStr">
        <is>
          <t>2024-12</t>
        </is>
      </c>
      <c r="B15" s="12" t="n">
        <v>432</v>
      </c>
      <c r="C15" s="12" t="n">
        <v>32</v>
      </c>
      <c r="D15" s="12" t="n">
        <v>30</v>
      </c>
      <c r="E15" s="12" t="n">
        <v>28</v>
      </c>
      <c r="F15" s="5" t="inlineStr">
        <is>
          <t>66.2%</t>
        </is>
      </c>
      <c r="G15" s="5" t="inlineStr">
        <is>
          <t>21.1小时</t>
        </is>
      </c>
      <c r="H15" s="5" t="inlineStr">
        <is>
          <t>20.8%</t>
        </is>
      </c>
      <c r="I15" s="5" t="inlineStr">
        <is>
          <t>-2.0%</t>
        </is>
      </c>
      <c r="J15" s="5" t="inlineStr">
        <is>
          <t>Stable</t>
        </is>
      </c>
    </row>
    <row r="16" ht="18" customHeight="1">
      <c r="A16" s="6" t="inlineStr">
        <is>
          <t>2025-01</t>
        </is>
      </c>
      <c r="B16" s="13" t="n">
        <v>511</v>
      </c>
      <c r="C16" s="13" t="n">
        <v>11</v>
      </c>
      <c r="D16" s="13" t="n">
        <v>11</v>
      </c>
      <c r="E16" s="13" t="n">
        <v>11</v>
      </c>
      <c r="F16" s="6" t="inlineStr">
        <is>
          <t>65.9%</t>
        </is>
      </c>
      <c r="G16" s="6" t="inlineStr">
        <is>
          <t>21.3小时</t>
        </is>
      </c>
      <c r="H16" s="6" t="inlineStr">
        <is>
          <t>20.7%</t>
        </is>
      </c>
      <c r="I16" s="6" t="inlineStr">
        <is>
          <t>+18.3%</t>
        </is>
      </c>
      <c r="J16" s="6" t="inlineStr">
        <is>
          <t>Increasing</t>
        </is>
      </c>
    </row>
    <row r="17" ht="18" customHeight="1">
      <c r="A17" s="5" t="inlineStr">
        <is>
          <t>2025-02</t>
        </is>
      </c>
      <c r="B17" s="12" t="n">
        <v>410</v>
      </c>
      <c r="C17" s="12" t="n">
        <v>0</v>
      </c>
      <c r="D17" s="12" t="n">
        <v>0</v>
      </c>
      <c r="E17" s="12" t="n">
        <v>0</v>
      </c>
      <c r="F17" s="5" t="inlineStr">
        <is>
          <t>66.8%</t>
        </is>
      </c>
      <c r="G17" s="5" t="inlineStr">
        <is>
          <t>23.6小时</t>
        </is>
      </c>
      <c r="H17" s="5" t="inlineStr">
        <is>
          <t>16.6%</t>
        </is>
      </c>
      <c r="I17" s="5" t="inlineStr">
        <is>
          <t>-19.8%</t>
        </is>
      </c>
      <c r="J17" s="5" t="inlineStr">
        <is>
          <t>Improving</t>
        </is>
      </c>
    </row>
    <row r="18" ht="18" customHeight="1">
      <c r="A18" s="6" t="inlineStr">
        <is>
          <t>2025-03</t>
        </is>
      </c>
      <c r="B18" s="13" t="n">
        <v>599</v>
      </c>
      <c r="C18" s="13" t="n">
        <v>0</v>
      </c>
      <c r="D18" s="13" t="n">
        <v>0</v>
      </c>
      <c r="E18" s="13" t="n">
        <v>0</v>
      </c>
      <c r="F18" s="6" t="inlineStr">
        <is>
          <t>66.1%</t>
        </is>
      </c>
      <c r="G18" s="6" t="inlineStr">
        <is>
          <t>26.4小时</t>
        </is>
      </c>
      <c r="H18" s="6" t="inlineStr">
        <is>
          <t>19.4%</t>
        </is>
      </c>
      <c r="I18" s="6" t="inlineStr">
        <is>
          <t>+46.1%</t>
        </is>
      </c>
      <c r="J18" s="6" t="inlineStr">
        <is>
          <t>Increasing</t>
        </is>
      </c>
    </row>
    <row r="19" ht="18" customHeight="1">
      <c r="A19" s="5" t="inlineStr">
        <is>
          <t>2025-04</t>
        </is>
      </c>
      <c r="B19" s="12" t="n">
        <v>491</v>
      </c>
      <c r="C19" s="12" t="n">
        <v>0</v>
      </c>
      <c r="D19" s="12" t="n">
        <v>0</v>
      </c>
      <c r="E19" s="12" t="n">
        <v>0</v>
      </c>
      <c r="F19" s="5" t="inlineStr">
        <is>
          <t>58.5%</t>
        </is>
      </c>
      <c r="G19" s="5" t="inlineStr">
        <is>
          <t>31.4小时</t>
        </is>
      </c>
      <c r="H19" s="5" t="inlineStr">
        <is>
          <t>19.3%</t>
        </is>
      </c>
      <c r="I19" s="5" t="inlineStr">
        <is>
          <t>-18.0%</t>
        </is>
      </c>
      <c r="J19" s="5" t="inlineStr">
        <is>
          <t>Improving</t>
        </is>
      </c>
    </row>
    <row r="20" ht="18" customHeight="1">
      <c r="A20" s="6" t="inlineStr">
        <is>
          <t>2025-05</t>
        </is>
      </c>
      <c r="B20" s="13" t="n">
        <v>652</v>
      </c>
      <c r="C20" s="13" t="n">
        <v>0</v>
      </c>
      <c r="D20" s="13" t="n">
        <v>0</v>
      </c>
      <c r="E20" s="13" t="n">
        <v>0</v>
      </c>
      <c r="F20" s="6" t="inlineStr">
        <is>
          <t>59.4%</t>
        </is>
      </c>
      <c r="G20" s="6" t="inlineStr">
        <is>
          <t>29.9小时</t>
        </is>
      </c>
      <c r="H20" s="6" t="inlineStr">
        <is>
          <t>20.6%</t>
        </is>
      </c>
      <c r="I20" s="6" t="inlineStr">
        <is>
          <t>+32.8%</t>
        </is>
      </c>
      <c r="J20" s="6" t="inlineStr">
        <is>
          <t>Increasing</t>
        </is>
      </c>
    </row>
    <row r="21" ht="18" customHeight="1">
      <c r="A21" s="5" t="inlineStr">
        <is>
          <t>2025-06</t>
        </is>
      </c>
      <c r="B21" s="12" t="n">
        <v>641</v>
      </c>
      <c r="C21" s="12" t="n">
        <v>0</v>
      </c>
      <c r="D21" s="12" t="n">
        <v>0</v>
      </c>
      <c r="E21" s="12" t="n">
        <v>0</v>
      </c>
      <c r="F21" s="5" t="inlineStr">
        <is>
          <t>66.8%</t>
        </is>
      </c>
      <c r="G21" s="5" t="inlineStr">
        <is>
          <t>23.5小时</t>
        </is>
      </c>
      <c r="H21" s="5" t="inlineStr">
        <is>
          <t>20.1%</t>
        </is>
      </c>
      <c r="I21" s="5" t="inlineStr">
        <is>
          <t>-1.7%</t>
        </is>
      </c>
      <c r="J21" s="5" t="inlineStr">
        <is>
          <t>Stable</t>
        </is>
      </c>
    </row>
    <row r="22" ht="18" customHeight="1">
      <c r="A22" s="6" t="inlineStr">
        <is>
          <t>2025-07</t>
        </is>
      </c>
      <c r="B22" s="13" t="n">
        <v>74</v>
      </c>
      <c r="C22" s="13" t="n">
        <v>0</v>
      </c>
      <c r="D22" s="13" t="n">
        <v>0</v>
      </c>
      <c r="E22" s="13" t="n">
        <v>0</v>
      </c>
      <c r="F22" s="6" t="inlineStr">
        <is>
          <t>50.0%</t>
        </is>
      </c>
      <c r="G22" s="6" t="inlineStr">
        <is>
          <t>29.5小时</t>
        </is>
      </c>
      <c r="H22" s="6" t="inlineStr">
        <is>
          <t>27.0%</t>
        </is>
      </c>
      <c r="I22" s="6" t="inlineStr">
        <is>
          <t>-88.5%</t>
        </is>
      </c>
      <c r="J22" s="6" t="inlineStr">
        <is>
          <t>Improving</t>
        </is>
      </c>
    </row>
    <row r="23" ht="10" customHeight="1"/>
    <row r="24" ht="26" customHeight="1">
      <c r="A24" s="3" t="inlineStr">
        <is>
          <t>星期分布</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2" t="n">
        <v>1506</v>
      </c>
      <c r="C26" s="5" t="inlineStr">
        <is>
          <t>16.8%</t>
        </is>
      </c>
      <c r="D26" s="5" t="inlineStr">
        <is>
          <t>26.1小时</t>
        </is>
      </c>
      <c r="E26" s="12" t="n">
        <v>284</v>
      </c>
      <c r="F26" s="5" t="inlineStr">
        <is>
          <t>Normal</t>
        </is>
      </c>
    </row>
    <row r="27" ht="18" customHeight="1">
      <c r="A27" s="6" t="inlineStr">
        <is>
          <t>Tuesday</t>
        </is>
      </c>
      <c r="B27" s="13" t="n">
        <v>1334</v>
      </c>
      <c r="C27" s="6" t="inlineStr">
        <is>
          <t>14.9%</t>
        </is>
      </c>
      <c r="D27" s="6" t="inlineStr">
        <is>
          <t>29.6小时</t>
        </is>
      </c>
      <c r="E27" s="13" t="n">
        <v>293</v>
      </c>
      <c r="F27" s="6" t="inlineStr">
        <is>
          <t>Normal</t>
        </is>
      </c>
    </row>
    <row r="28" ht="18" customHeight="1">
      <c r="A28" s="5" t="inlineStr">
        <is>
          <t>Wednesday</t>
        </is>
      </c>
      <c r="B28" s="12" t="n">
        <v>1436</v>
      </c>
      <c r="C28" s="5" t="inlineStr">
        <is>
          <t>16.0%</t>
        </is>
      </c>
      <c r="D28" s="5" t="inlineStr">
        <is>
          <t>37.7小时</t>
        </is>
      </c>
      <c r="E28" s="12" t="n">
        <v>305</v>
      </c>
      <c r="F28" s="5" t="inlineStr">
        <is>
          <t>Normal</t>
        </is>
      </c>
    </row>
    <row r="29" ht="18" customHeight="1">
      <c r="A29" s="6" t="inlineStr">
        <is>
          <t>Thursday</t>
        </is>
      </c>
      <c r="B29" s="13" t="n">
        <v>1321</v>
      </c>
      <c r="C29" s="6" t="inlineStr">
        <is>
          <t>14.7%</t>
        </is>
      </c>
      <c r="D29" s="6" t="inlineStr">
        <is>
          <t>29.9小时</t>
        </is>
      </c>
      <c r="E29" s="13" t="n">
        <v>239</v>
      </c>
      <c r="F29" s="6" t="inlineStr">
        <is>
          <t>Normal</t>
        </is>
      </c>
    </row>
    <row r="30" ht="18" customHeight="1">
      <c r="A30" s="5" t="inlineStr">
        <is>
          <t>Friday</t>
        </is>
      </c>
      <c r="B30" s="12" t="n">
        <v>1270</v>
      </c>
      <c r="C30" s="5" t="inlineStr">
        <is>
          <t>14.1%</t>
        </is>
      </c>
      <c r="D30" s="5" t="inlineStr">
        <is>
          <t>24.2小时</t>
        </is>
      </c>
      <c r="E30" s="12" t="n">
        <v>255</v>
      </c>
      <c r="F30" s="5" t="inlineStr">
        <is>
          <t>Normal</t>
        </is>
      </c>
    </row>
    <row r="31" ht="18" customHeight="1">
      <c r="A31" s="6" t="inlineStr">
        <is>
          <t>Saturday</t>
        </is>
      </c>
      <c r="B31" s="13" t="n">
        <v>1040</v>
      </c>
      <c r="C31" s="6" t="inlineStr">
        <is>
          <t>11.6%</t>
        </is>
      </c>
      <c r="D31" s="6" t="inlineStr">
        <is>
          <t>30.1小时</t>
        </is>
      </c>
      <c r="E31" s="13" t="n">
        <v>193</v>
      </c>
      <c r="F31" s="6" t="inlineStr">
        <is>
          <t>Normal</t>
        </is>
      </c>
    </row>
    <row r="32" ht="18" customHeight="1">
      <c r="A32" s="5" t="inlineStr">
        <is>
          <t>Sunday</t>
        </is>
      </c>
      <c r="B32" s="12" t="n">
        <v>1070</v>
      </c>
      <c r="C32" s="5" t="inlineStr">
        <is>
          <t>11.9%</t>
        </is>
      </c>
      <c r="D32" s="5" t="inlineStr">
        <is>
          <t>27.2小时</t>
        </is>
      </c>
      <c r="E32" s="12" t="n">
        <v>225</v>
      </c>
      <c r="F32" s="5" t="inlineStr">
        <is>
          <t>Normal</t>
        </is>
      </c>
    </row>
    <row r="33" ht="10" customHeight="1"/>
    <row r="34" ht="26" customHeight="1">
      <c r="A34" s="3" t="inlineStr">
        <is>
          <t>时段分布</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2" t="n">
        <v>1133</v>
      </c>
      <c r="D36" s="5" t="inlineStr">
        <is>
          <t>12.6%</t>
        </is>
      </c>
      <c r="E36" s="5" t="inlineStr">
        <is>
          <t>27.5小时</t>
        </is>
      </c>
      <c r="F36" s="5" t="inlineStr">
        <is>
          <t>Consider on-call staffing adjustments</t>
        </is>
      </c>
    </row>
    <row r="37" ht="18" customHeight="1">
      <c r="A37" s="6" t="inlineStr">
        <is>
          <t>Morning</t>
        </is>
      </c>
      <c r="B37" s="6" t="inlineStr">
        <is>
          <t>06:00-11:59</t>
        </is>
      </c>
      <c r="C37" s="13" t="n">
        <v>2576</v>
      </c>
      <c r="D37" s="6" t="inlineStr">
        <is>
          <t>28.7%</t>
        </is>
      </c>
      <c r="E37" s="6" t="inlineStr">
        <is>
          <t>25.7小时</t>
        </is>
      </c>
      <c r="F37" s="6" t="inlineStr">
        <is>
          <t>Ensure full team availability</t>
        </is>
      </c>
    </row>
    <row r="38" ht="18" customHeight="1">
      <c r="A38" s="5" t="inlineStr">
        <is>
          <t>Afternoon</t>
        </is>
      </c>
      <c r="B38" s="5" t="inlineStr">
        <is>
          <t>12:00-17:59</t>
        </is>
      </c>
      <c r="C38" s="12" t="n">
        <v>3240</v>
      </c>
      <c r="D38" s="5" t="inlineStr">
        <is>
          <t>36.1%</t>
        </is>
      </c>
      <c r="E38" s="5" t="inlineStr">
        <is>
          <t>28.6小时</t>
        </is>
      </c>
      <c r="F38" s="5" t="inlineStr">
        <is>
          <t>Monitor post-lunch productivity</t>
        </is>
      </c>
    </row>
    <row r="39" ht="18" customHeight="1">
      <c r="A39" s="6" t="inlineStr">
        <is>
          <t>Evening</t>
        </is>
      </c>
      <c r="B39" s="6" t="inlineStr">
        <is>
          <t>18:00-23:59</t>
        </is>
      </c>
      <c r="C39" s="13" t="n">
        <v>2028</v>
      </c>
      <c r="D39" s="6" t="inlineStr">
        <is>
          <t>22.6%</t>
        </is>
      </c>
      <c r="E39" s="6" t="inlineStr">
        <is>
          <t>36.3小时</t>
        </is>
      </c>
      <c r="F39" s="6" t="inlineStr">
        <is>
          <t>Evaluate after-hours support needs</t>
        </is>
      </c>
    </row>
    <row r="40" ht="10" customHeight="1"/>
    <row r="41" ht="26" customHeight="1">
      <c r="A41" s="3" t="inlineStr">
        <is>
          <t>可视化分析</t>
        </is>
      </c>
    </row>
    <row r="42" ht="16" customHeight="1">
      <c r="A42" s="8" t="inlineStr">
        <is>
          <t>四大ITIL流程量时间趋势</t>
        </is>
      </c>
    </row>
    <row r="69" ht="16" customHeight="1">
      <c r="A69" s="8" t="inlineStr">
        <is>
          <t>按星期分布的事件量</t>
        </is>
      </c>
    </row>
    <row r="96">
      <c r="A96" s="14" t="inlineStr">
        <is>
          <t>小时事件热力图</t>
        </is>
      </c>
    </row>
    <row r="97">
      <c r="A97" t="inlineStr">
        <is>
          <t>小时</t>
        </is>
      </c>
      <c r="B97" t="inlineStr">
        <is>
          <t>Monday</t>
        </is>
      </c>
      <c r="C97" t="inlineStr">
        <is>
          <t>Tuesday</t>
        </is>
      </c>
      <c r="D97" t="inlineStr">
        <is>
          <t>Wednesday</t>
        </is>
      </c>
      <c r="E97" t="inlineStr">
        <is>
          <t>Thursday</t>
        </is>
      </c>
      <c r="F97" t="inlineStr">
        <is>
          <t>Friday</t>
        </is>
      </c>
      <c r="G97" t="inlineStr">
        <is>
          <t>Saturday</t>
        </is>
      </c>
      <c r="H97" t="inlineStr">
        <is>
          <t>Sunday</t>
        </is>
      </c>
    </row>
    <row r="98">
      <c r="A98" t="inlineStr">
        <is>
          <t>0</t>
        </is>
      </c>
      <c r="B98" t="n">
        <v>88</v>
      </c>
      <c r="C98" t="n">
        <v>50</v>
      </c>
      <c r="D98" t="n">
        <v>55</v>
      </c>
      <c r="E98" t="n">
        <v>41</v>
      </c>
      <c r="F98" t="n">
        <v>52</v>
      </c>
      <c r="G98" t="n">
        <v>67</v>
      </c>
      <c r="H98" t="n">
        <v>39</v>
      </c>
    </row>
    <row r="99">
      <c r="A99" t="inlineStr">
        <is>
          <t>1</t>
        </is>
      </c>
      <c r="B99" t="n">
        <v>59</v>
      </c>
      <c r="C99" t="n">
        <v>41</v>
      </c>
      <c r="D99" t="n">
        <v>42</v>
      </c>
      <c r="E99" t="n">
        <v>41</v>
      </c>
      <c r="F99" t="n">
        <v>39</v>
      </c>
      <c r="G99" t="n">
        <v>34</v>
      </c>
      <c r="H99" t="n">
        <v>43</v>
      </c>
    </row>
    <row r="100">
      <c r="A100" t="inlineStr">
        <is>
          <t>2</t>
        </is>
      </c>
      <c r="B100" t="n">
        <v>31</v>
      </c>
      <c r="C100" t="n">
        <v>12</v>
      </c>
      <c r="D100" t="n">
        <v>24</v>
      </c>
      <c r="E100" t="n">
        <v>22</v>
      </c>
      <c r="F100" t="n">
        <v>20</v>
      </c>
      <c r="G100" t="n">
        <v>21</v>
      </c>
      <c r="H100" t="n">
        <v>19</v>
      </c>
    </row>
    <row r="101">
      <c r="A101" t="inlineStr">
        <is>
          <t>3</t>
        </is>
      </c>
      <c r="B101" t="n">
        <v>13</v>
      </c>
      <c r="C101" t="n">
        <v>11</v>
      </c>
      <c r="D101" t="n">
        <v>16</v>
      </c>
      <c r="E101" t="n">
        <v>14</v>
      </c>
      <c r="F101" t="n">
        <v>11</v>
      </c>
      <c r="G101" t="n">
        <v>11</v>
      </c>
      <c r="H101" t="n">
        <v>17</v>
      </c>
    </row>
    <row r="102">
      <c r="A102" t="inlineStr">
        <is>
          <t>4</t>
        </is>
      </c>
      <c r="B102" t="n">
        <v>16</v>
      </c>
      <c r="C102" t="n">
        <v>20</v>
      </c>
      <c r="D102" t="n">
        <v>20</v>
      </c>
      <c r="E102" t="n">
        <v>14</v>
      </c>
      <c r="F102" t="n">
        <v>19</v>
      </c>
      <c r="G102" t="n">
        <v>14</v>
      </c>
      <c r="H102" t="n">
        <v>24</v>
      </c>
    </row>
    <row r="103">
      <c r="A103" t="inlineStr">
        <is>
          <t>5</t>
        </is>
      </c>
      <c r="B103" t="n">
        <v>12</v>
      </c>
      <c r="C103" t="n">
        <v>5</v>
      </c>
      <c r="D103" t="n">
        <v>14</v>
      </c>
      <c r="E103" t="n">
        <v>14</v>
      </c>
      <c r="F103" t="n">
        <v>6</v>
      </c>
      <c r="G103" t="n">
        <v>11</v>
      </c>
      <c r="H103" t="n">
        <v>11</v>
      </c>
    </row>
    <row r="104">
      <c r="A104" t="inlineStr">
        <is>
          <t>6</t>
        </is>
      </c>
      <c r="B104" t="n">
        <v>56</v>
      </c>
      <c r="C104" t="n">
        <v>50</v>
      </c>
      <c r="D104" t="n">
        <v>56</v>
      </c>
      <c r="E104" t="n">
        <v>89</v>
      </c>
      <c r="F104" t="n">
        <v>57</v>
      </c>
      <c r="G104" t="n">
        <v>71</v>
      </c>
      <c r="H104" t="n">
        <v>91</v>
      </c>
    </row>
    <row r="105">
      <c r="A105" t="inlineStr">
        <is>
          <t>7</t>
        </is>
      </c>
      <c r="B105" t="n">
        <v>40</v>
      </c>
      <c r="C105" t="n">
        <v>49</v>
      </c>
      <c r="D105" t="n">
        <v>47</v>
      </c>
      <c r="E105" t="n">
        <v>32</v>
      </c>
      <c r="F105" t="n">
        <v>37</v>
      </c>
      <c r="G105" t="n">
        <v>38</v>
      </c>
      <c r="H105" t="n">
        <v>49</v>
      </c>
    </row>
    <row r="106">
      <c r="A106" t="inlineStr">
        <is>
          <t>8</t>
        </is>
      </c>
      <c r="B106" t="n">
        <v>35</v>
      </c>
      <c r="C106" t="n">
        <v>49</v>
      </c>
      <c r="D106" t="n">
        <v>67</v>
      </c>
      <c r="E106" t="n">
        <v>42</v>
      </c>
      <c r="F106" t="n">
        <v>49</v>
      </c>
      <c r="G106" t="n">
        <v>48</v>
      </c>
      <c r="H106" t="n">
        <v>50</v>
      </c>
    </row>
    <row r="107">
      <c r="A107" t="inlineStr">
        <is>
          <t>9</t>
        </is>
      </c>
      <c r="B107" t="n">
        <v>58</v>
      </c>
      <c r="C107" t="n">
        <v>66</v>
      </c>
      <c r="D107" t="n">
        <v>62</v>
      </c>
      <c r="E107" t="n">
        <v>81</v>
      </c>
      <c r="F107" t="n">
        <v>65</v>
      </c>
      <c r="G107" t="n">
        <v>70</v>
      </c>
      <c r="H107" t="n">
        <v>40</v>
      </c>
    </row>
    <row r="108">
      <c r="A108" t="inlineStr">
        <is>
          <t>10</t>
        </is>
      </c>
      <c r="B108" t="n">
        <v>84</v>
      </c>
      <c r="C108" t="n">
        <v>77</v>
      </c>
      <c r="D108" t="n">
        <v>64</v>
      </c>
      <c r="E108" t="n">
        <v>67</v>
      </c>
      <c r="F108" t="n">
        <v>67</v>
      </c>
      <c r="G108" t="n">
        <v>53</v>
      </c>
      <c r="H108" t="n">
        <v>48</v>
      </c>
    </row>
    <row r="109">
      <c r="A109" t="inlineStr">
        <is>
          <t>11</t>
        </is>
      </c>
      <c r="B109" t="n">
        <v>100</v>
      </c>
      <c r="C109" t="n">
        <v>78</v>
      </c>
      <c r="D109" t="n">
        <v>102</v>
      </c>
      <c r="E109" t="n">
        <v>81</v>
      </c>
      <c r="F109" t="n">
        <v>90</v>
      </c>
      <c r="G109" t="n">
        <v>65</v>
      </c>
      <c r="H109" t="n">
        <v>56</v>
      </c>
    </row>
    <row r="110">
      <c r="A110" t="inlineStr">
        <is>
          <t>12</t>
        </is>
      </c>
      <c r="B110" t="n">
        <v>101</v>
      </c>
      <c r="C110" t="n">
        <v>81</v>
      </c>
      <c r="D110" t="n">
        <v>88</v>
      </c>
      <c r="E110" t="n">
        <v>83</v>
      </c>
      <c r="F110" t="n">
        <v>80</v>
      </c>
      <c r="G110" t="n">
        <v>64</v>
      </c>
      <c r="H110" t="n">
        <v>53</v>
      </c>
    </row>
    <row r="111">
      <c r="A111" t="inlineStr">
        <is>
          <t>13</t>
        </is>
      </c>
      <c r="B111" t="n">
        <v>122</v>
      </c>
      <c r="C111" t="n">
        <v>95</v>
      </c>
      <c r="D111" t="n">
        <v>104</v>
      </c>
      <c r="E111" t="n">
        <v>73</v>
      </c>
      <c r="F111" t="n">
        <v>80</v>
      </c>
      <c r="G111" t="n">
        <v>63</v>
      </c>
      <c r="H111" t="n">
        <v>61</v>
      </c>
    </row>
    <row r="112">
      <c r="A112" t="inlineStr">
        <is>
          <t>14</t>
        </is>
      </c>
      <c r="B112" t="n">
        <v>98</v>
      </c>
      <c r="C112" t="n">
        <v>85</v>
      </c>
      <c r="D112" t="n">
        <v>94</v>
      </c>
      <c r="E112" t="n">
        <v>84</v>
      </c>
      <c r="F112" t="n">
        <v>69</v>
      </c>
      <c r="G112" t="n">
        <v>56</v>
      </c>
      <c r="H112" t="n">
        <v>52</v>
      </c>
    </row>
    <row r="113">
      <c r="A113" t="inlineStr">
        <is>
          <t>15</t>
        </is>
      </c>
      <c r="B113" t="n">
        <v>127</v>
      </c>
      <c r="C113" t="n">
        <v>85</v>
      </c>
      <c r="D113" t="n">
        <v>74</v>
      </c>
      <c r="E113" t="n">
        <v>76</v>
      </c>
      <c r="F113" t="n">
        <v>82</v>
      </c>
      <c r="G113" t="n">
        <v>62</v>
      </c>
      <c r="H113" t="n">
        <v>54</v>
      </c>
    </row>
    <row r="114">
      <c r="A114" t="inlineStr">
        <is>
          <t>16</t>
        </is>
      </c>
      <c r="B114" t="n">
        <v>95</v>
      </c>
      <c r="C114" t="n">
        <v>95</v>
      </c>
      <c r="D114" t="n">
        <v>95</v>
      </c>
      <c r="E114" t="n">
        <v>87</v>
      </c>
      <c r="F114" t="n">
        <v>71</v>
      </c>
      <c r="G114" t="n">
        <v>38</v>
      </c>
      <c r="H114" t="n">
        <v>63</v>
      </c>
    </row>
    <row r="115">
      <c r="A115" t="inlineStr">
        <is>
          <t>17</t>
        </is>
      </c>
      <c r="B115" t="n">
        <v>83</v>
      </c>
      <c r="C115" t="n">
        <v>67</v>
      </c>
      <c r="D115" t="n">
        <v>74</v>
      </c>
      <c r="E115" t="n">
        <v>70</v>
      </c>
      <c r="F115" t="n">
        <v>75</v>
      </c>
      <c r="G115" t="n">
        <v>40</v>
      </c>
      <c r="H115" t="n">
        <v>41</v>
      </c>
    </row>
    <row r="116">
      <c r="A116" t="inlineStr">
        <is>
          <t>18</t>
        </is>
      </c>
      <c r="B116" t="n">
        <v>61</v>
      </c>
      <c r="C116" t="n">
        <v>60</v>
      </c>
      <c r="D116" t="n">
        <v>87</v>
      </c>
      <c r="E116" t="n">
        <v>69</v>
      </c>
      <c r="F116" t="n">
        <v>67</v>
      </c>
      <c r="G116" t="n">
        <v>44</v>
      </c>
      <c r="H116" t="n">
        <v>48</v>
      </c>
    </row>
    <row r="117">
      <c r="A117" t="inlineStr">
        <is>
          <t>19</t>
        </is>
      </c>
      <c r="B117" t="n">
        <v>46</v>
      </c>
      <c r="C117" t="n">
        <v>43</v>
      </c>
      <c r="D117" t="n">
        <v>50</v>
      </c>
      <c r="E117" t="n">
        <v>40</v>
      </c>
      <c r="F117" t="n">
        <v>52</v>
      </c>
      <c r="G117" t="n">
        <v>48</v>
      </c>
      <c r="H117" t="n">
        <v>37</v>
      </c>
    </row>
    <row r="118">
      <c r="A118" t="inlineStr">
        <is>
          <t>20</t>
        </is>
      </c>
      <c r="B118" t="n">
        <v>40</v>
      </c>
      <c r="C118" t="n">
        <v>43</v>
      </c>
      <c r="D118" t="n">
        <v>62</v>
      </c>
      <c r="E118" t="n">
        <v>49</v>
      </c>
      <c r="F118" t="n">
        <v>40</v>
      </c>
      <c r="G118" t="n">
        <v>29</v>
      </c>
      <c r="H118" t="n">
        <v>38</v>
      </c>
    </row>
    <row r="119">
      <c r="A119" t="inlineStr">
        <is>
          <t>21</t>
        </is>
      </c>
      <c r="B119" t="n">
        <v>58</v>
      </c>
      <c r="C119" t="n">
        <v>65</v>
      </c>
      <c r="D119" t="n">
        <v>56</v>
      </c>
      <c r="E119" t="n">
        <v>50</v>
      </c>
      <c r="F119" t="n">
        <v>49</v>
      </c>
      <c r="G119" t="n">
        <v>38</v>
      </c>
      <c r="H119" t="n">
        <v>62</v>
      </c>
    </row>
    <row r="120">
      <c r="A120" t="inlineStr">
        <is>
          <t>22</t>
        </is>
      </c>
      <c r="B120" t="n">
        <v>44</v>
      </c>
      <c r="C120" t="n">
        <v>54</v>
      </c>
      <c r="D120" t="n">
        <v>51</v>
      </c>
      <c r="E120" t="n">
        <v>52</v>
      </c>
      <c r="F120" t="n">
        <v>47</v>
      </c>
      <c r="G120" t="n">
        <v>27</v>
      </c>
      <c r="H120" t="n">
        <v>36</v>
      </c>
    </row>
    <row r="121">
      <c r="A121" t="inlineStr">
        <is>
          <t>23</t>
        </is>
      </c>
      <c r="B121" t="n">
        <v>39</v>
      </c>
      <c r="C121" t="n">
        <v>53</v>
      </c>
      <c r="D121" t="n">
        <v>32</v>
      </c>
      <c r="E121" t="n">
        <v>50</v>
      </c>
      <c r="F121" t="n">
        <v>46</v>
      </c>
      <c r="G121" t="n">
        <v>28</v>
      </c>
      <c r="H121" t="n">
        <v>38</v>
      </c>
    </row>
    <row r="123" ht="10" customHeight="1"/>
    <row r="124" ht="26" customHeight="1">
      <c r="A124" s="9" t="inlineStr">
        <is>
          <t>🤖 AI 洞察分析</t>
        </is>
      </c>
    </row>
    <row r="125" ht="30" customHeight="1">
      <c r="A125" s="10" t="inlineStr">
        <is>
          <t>📌 发现：</t>
        </is>
      </c>
    </row>
    <row r="126" ht="30" customHeight="1">
      <c r="A126" s="15" t="inlineStr">
        <is>
          <t>1.  **服务质量处于严重风险水平**：健康评分仅为33/100，远低于行业公认的及格线（通常为80/100以上），表明IT服务在可靠性、响应速度或解决效率上存在系统性短板，已对业务连续性构成显著威胁。</t>
        </is>
      </c>
    </row>
    <row r="127" ht="30" customHeight="1">
      <c r="A127" s="15" t="inlineStr">
        <is>
          <t>2.  **事件解决效率极低**：平均解决时间高达29.4小时，远超可接受的SLA目标（通常为4-8小时）。这意味着关键业务中断或性能下降后，平均需要超过一个工作日才能恢复，严重影响业务运营和用户体验。</t>
        </is>
      </c>
    </row>
    <row r="128" ht="30" customHeight="1">
      <c r="A128" s="15" t="inlineStr">
        <is>
          <t>3.  **事件总量庞大且趋势不明**：总事件数达8977起，结合极低的健康评分，表明系统或流程脆弱性高，频繁产生告警或故障。虽然提供了周环比和月环比数据，但未显示具体数值，无法判断当前趋势是恶化、稳定还是改善，这本身是一个关键的风险信号。</t>
        </is>
      </c>
    </row>
    <row r="129" ht="6" customHeight="1"/>
    <row r="130" ht="30" customHeight="1">
      <c r="A130" s="10" t="inlineStr">
        <is>
          <t>🔍 原因：</t>
        </is>
      </c>
    </row>
    <row r="131" ht="30" customHeight="1">
      <c r="A131" s="15" t="inlineStr">
        <is>
          <t>1.  **技术层面（根因）**：极高的MTTR（29.4h）和庞大的事件总数（8977）强烈暗示，基础设施可能存在大量重复性、未根治的故障，或监控体系过于敏感产生大量无效告警。根本原因可能包括：老旧系统技术债务累积、架构缺乏弹性、自动化修复能力缺失，导致每次事件都需要大量人工介入和排错时间。</t>
        </is>
      </c>
    </row>
    <row r="132" ht="30" customHeight="1">
      <c r="A132" s="15" t="inlineStr">
        <is>
          <t>2.  **流程与管理层面（放大器）**：低健康评分（33）与高MTTR的组合，通常指向事件管理流程存在严重缺陷。可能缺乏清晰的事件分级、分派、升级和协作机制，导致关键事件响应迟缓。此外，缺乏有效的根本原因分析（RCA）和问题管理流程，使得同类事件反复发生，推高了事件总数。</t>
        </is>
      </c>
    </row>
    <row r="133" ht="30" customHeight="1">
      <c r="A133" s="15" t="inlineStr">
        <is>
          <t>3.  **人员与数据层面（洞察缺失）**：虽然提供了周环比和月环比数据，但未在分析中明确展示趋势是上升还是下降，这反映出可能缺乏有效的数据分析和绩效管理机制。团队可能忙于“救火”，而无暇进行趋势分析和预防性改进，导致无法从历史数据中学习并系统性提升。</t>
        </is>
      </c>
    </row>
    <row r="134" ht="6" customHeight="1"/>
    <row r="135" ht="30" customHeight="1">
      <c r="A135" s="10" t="inlineStr">
        <is>
          <t>💡 建议：</t>
        </is>
      </c>
    </row>
    <row r="136" ht="30" customHeight="1">
      <c r="A136" s="15" t="inlineStr">
        <is>
          <t>1.  立即启动针对高频、高影响事件的根因分析专项，并建立闭环的问题管理流程，优先解决导致MTTR过长的Top 5根本原因。</t>
        </is>
      </c>
    </row>
    <row r="137" ht="30" customHeight="1">
      <c r="A137" s="15" t="inlineStr">
        <is>
          <t>2.  审查并优化事件响应与升级流程，明确SLA，并为关键业务系统引入或强化自动化修复与回滚能力。</t>
        </is>
      </c>
    </row>
    <row r="138" ht="6" customHeight="1"/>
    <row r="139" ht="30" customHeight="1">
      <c r="A139" s="10" t="inlineStr">
        <is>
          <t>📈 预期：在下一季度，将平均MTTR降低40%至17.6小时以下，并将服务健康评分提升20个百分点至53/100以上。</t>
        </is>
      </c>
    </row>
    <row r="140" ht="10" customHeight="1"/>
    <row r="141" ht="10" customHeight="1"/>
    <row r="142">
      <c r="A142" s="11" t="inlineStr">
        <is>
          <t>由客户跨流程总览报告生成 • 2026-02-04 13:18</t>
        </is>
      </c>
    </row>
  </sheetData>
  <mergeCells count="23">
    <mergeCell ref="A5:J5"/>
    <mergeCell ref="A135:J135"/>
    <mergeCell ref="A131:J131"/>
    <mergeCell ref="A126:J126"/>
    <mergeCell ref="A4:J4"/>
    <mergeCell ref="A125:J125"/>
    <mergeCell ref="A127:J127"/>
    <mergeCell ref="A130:J130"/>
    <mergeCell ref="A34:J34"/>
    <mergeCell ref="A24:J24"/>
    <mergeCell ref="A142:J142"/>
    <mergeCell ref="A1:J1"/>
    <mergeCell ref="A132:J132"/>
    <mergeCell ref="A124:J124"/>
    <mergeCell ref="A69:J69"/>
    <mergeCell ref="A137:J137"/>
    <mergeCell ref="A128:J128"/>
    <mergeCell ref="A41:J41"/>
    <mergeCell ref="A133:J133"/>
    <mergeCell ref="A136:J136"/>
    <mergeCell ref="A139:J139"/>
    <mergeCell ref="A2:J2"/>
    <mergeCell ref="A42:J42"/>
  </mergeCells>
  <conditionalFormatting sqref="B98:H121">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14b8a6"/>
    <outlinePr summaryBelow="1" summaryRight="1"/>
    <pageSetUpPr fitToPage="1"/>
  </sheetPr>
  <dimension ref="A1:J99"/>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行动计划</t>
        </is>
      </c>
    </row>
    <row r="2" ht="22" customHeight="1">
      <c r="A2" s="2" t="inlineStr">
        <is>
          <t>2024-04-19 — 2025-07-06</t>
        </is>
      </c>
    </row>
    <row r="3" ht="10" customHeight="1"/>
    <row r="4" ht="26" customHeight="1">
      <c r="A4" s="3" t="inlineStr">
        <is>
          <t>数据表格</t>
        </is>
      </c>
    </row>
    <row r="5" ht="26" customHeight="1">
      <c r="A5" s="3" t="inlineStr">
        <is>
          <t>行动项</t>
        </is>
      </c>
    </row>
    <row r="6" ht="20" customHeight="1">
      <c r="A6" s="4" t="inlineStr">
        <is>
          <t>#</t>
        </is>
      </c>
      <c r="B6" s="4" t="inlineStr">
        <is>
          <t>Priority</t>
        </is>
      </c>
      <c r="C6" s="4" t="inlineStr">
        <is>
          <t>Action</t>
        </is>
      </c>
      <c r="D6" s="4" t="inlineStr">
        <is>
          <t>Process</t>
        </is>
      </c>
      <c r="E6" s="4" t="inlineStr">
        <is>
          <t>Expected Effect</t>
        </is>
      </c>
    </row>
    <row r="7" ht="18" customHeight="1">
      <c r="A7" s="12" t="n">
        <v>1</v>
      </c>
      <c r="B7" s="5" t="inlineStr">
        <is>
          <t>URGENT</t>
        </is>
      </c>
      <c r="C7" s="5" t="inlineStr">
        <is>
          <t>Review and optimize incident SLA compliance processes</t>
        </is>
      </c>
      <c r="D7" s="5" t="inlineStr">
        <is>
          <t>incident</t>
        </is>
      </c>
      <c r="E7" s="5" t="inlineStr">
        <is>
          <t>Improve SLA rate by 10-15%</t>
        </is>
      </c>
    </row>
    <row r="8" ht="18" customHeight="1">
      <c r="A8" s="13" t="n">
        <v>2</v>
      </c>
      <c r="B8" s="6" t="inlineStr">
        <is>
          <t>URGENT</t>
        </is>
      </c>
      <c r="C8" s="6" t="inlineStr">
        <is>
          <t>Implement post-change validation and monitoring</t>
        </is>
      </c>
      <c r="D8" s="6" t="inlineStr">
        <is>
          <t>change</t>
        </is>
      </c>
      <c r="E8" s="6" t="inlineStr">
        <is>
          <t>Reduce change-induced incidents by 50%</t>
        </is>
      </c>
    </row>
    <row r="9" ht="18" customHeight="1">
      <c r="A9" s="12" t="n">
        <v>3</v>
      </c>
      <c r="B9" s="5" t="inlineStr">
        <is>
          <t>HIGH</t>
        </is>
      </c>
      <c r="C9" s="5" t="inlineStr">
        <is>
          <t>Strengthen change assessment and testing procedures</t>
        </is>
      </c>
      <c r="D9" s="5" t="inlineStr">
        <is>
          <t>change</t>
        </is>
      </c>
      <c r="E9" s="5" t="inlineStr">
        <is>
          <t>Improve change success rate to 95%+</t>
        </is>
      </c>
    </row>
    <row r="10" ht="18" customHeight="1">
      <c r="A10" s="13" t="n">
        <v>4</v>
      </c>
      <c r="B10" s="6" t="inlineStr">
        <is>
          <t>MEDIUM</t>
        </is>
      </c>
      <c r="C10" s="6" t="inlineStr">
        <is>
          <t>Analyze and streamline incident resolution workflow</t>
        </is>
      </c>
      <c r="D10" s="6" t="inlineStr">
        <is>
          <t>incident</t>
        </is>
      </c>
      <c r="E10" s="6" t="inlineStr">
        <is>
          <t>Reduce average MTTR by 20-30%</t>
        </is>
      </c>
    </row>
    <row r="11" ht="18" customHeight="1">
      <c r="A11" s="12"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风险汇总</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可视化分析</t>
        </is>
      </c>
    </row>
    <row r="25" ht="16" customHeight="1">
      <c r="A25" s="8" t="inlineStr">
        <is>
          <t>按优先级的行动项</t>
        </is>
      </c>
    </row>
    <row r="52" ht="16" customHeight="1">
      <c r="A52" s="8" t="inlineStr">
        <is>
          <t>按源流程的行动项</t>
        </is>
      </c>
    </row>
    <row r="79" ht="10" customHeight="1"/>
    <row r="80" ht="26" customHeight="1">
      <c r="A80" s="9" t="inlineStr">
        <is>
          <t>🤖 AI 洞察分析</t>
        </is>
      </c>
    </row>
    <row r="81" ht="30" customHeight="1">
      <c r="A81" s="10" t="inlineStr">
        <is>
          <t>📌 发现：</t>
        </is>
      </c>
    </row>
    <row r="82" ht="30" customHeight="1">
      <c r="A82" s="15" t="inlineStr">
        <is>
          <t>1.  **核心服务承诺严重不达标**：事件SLA合规率仅为64.2%，远低于行业优秀实践（通常&gt;95%），表明超过三分之一的事件未能在承诺时间内解决，直接损害服务可靠性与客户信任。</t>
        </is>
      </c>
    </row>
    <row r="83" ht="30" customHeight="1">
      <c r="A83" s="15" t="inlineStr">
        <is>
          <t>2.  **变更管理存在显著质量漏洞**：高达18.0%（9次）的变更直接引发了服务事件，变更已成为一个主要的事故源，暴露出变更前评估、测试或实施后验证环节存在系统性缺陷。</t>
        </is>
      </c>
    </row>
    <row r="84" ht="30" customHeight="1">
      <c r="A84" s="15" t="inlineStr">
        <is>
          <t>3.  **关键类别事件解决效率极低**：特别是“客户投诉”类事件的平均解决时间（MTTR）长达341.8小时（约14天），严重影响了客户体验与满意度；“合规”与“基础设施”类事件的MTTR也分别达到67.8小时和70.3小时，均处于异常高位。</t>
        </is>
      </c>
    </row>
    <row r="85" ht="6" customHeight="1"/>
    <row r="86" ht="30" customHeight="1">
      <c r="A86" s="10" t="inlineStr">
        <is>
          <t>🔍 原因：</t>
        </is>
      </c>
    </row>
    <row r="87" ht="30" customHeight="1">
      <c r="A87" s="15" t="inlineStr">
        <is>
          <t>从数据驱动的多维度根因分析：</t>
        </is>
      </c>
    </row>
    <row r="88" ht="30" customHeight="1">
      <c r="A88" s="15" t="inlineStr">
        <is>
          <t>*   **流程与技术维度**：事件SLA合规率低（64.2%）与“客户投诉”MTTR极高（341.8h）直接相关，反映出**事件管理流程**（从分派、升级到解决）存在严重阻塞或效率瓶颈，可能缺乏有效的优先级处理机制或自动化工具支持。同时，变更引发事件率高达18.0%，明确指向**变更管理流程**的失效，特别是变更风险评估、测试覆盖率和实施后监控验证环节薄弱或缺失。</t>
        </is>
      </c>
    </row>
    <row r="89" ht="30" customHeight="1">
      <c r="A89" s="15" t="inlineStr">
        <is>
          <t>*   **管理与人员维度**：关键风险类别（如合规、客户投诉）的MTTR异常，表明团队可能缺乏处理此类复杂或高影响事件的专门技能、明确授权或升级路径。变更的高故障率也暗示变更审批可能流于形式，或实施团队未充分理解变更风险与回滚方案。</t>
        </is>
      </c>
    </row>
    <row r="90" ht="30" customHeight="1">
      <c r="A90" s="15" t="inlineStr">
        <is>
          <t>*   **数据关联分析**：低健康度评分（33/100）是上述所有问题的综合体现。高事件量（由低SLA合规率和变更引发事件反映）与长解决时间（高MTTR）形成恶性循环，持续消耗运维资源并推高运营风险。</t>
        </is>
      </c>
    </row>
    <row r="91" ht="6" customHeight="1"/>
    <row r="92" ht="30" customHeight="1">
      <c r="A92" s="10" t="inlineStr">
        <is>
          <t>💡 建议：</t>
        </is>
      </c>
    </row>
    <row r="93" ht="30" customHeight="1">
      <c r="A93" s="15" t="inlineStr">
        <is>
          <t>1.  立即成立专项小组，优先审查并重构事件升级路径与SLA计时规则，同时为所有生产变更强制实施“变更后验证”检查清单与自动化监控。</t>
        </is>
      </c>
    </row>
    <row r="94" ht="30" customHeight="1">
      <c r="A94" s="15" t="inlineStr">
        <is>
          <t>2.  针对“客户投诉”与“合规”类事件，建立由资深工程师与客户经理组成的联合响应小组，并制定专属处理规程。</t>
        </is>
      </c>
    </row>
    <row r="95" ht="6" customHeight="1"/>
    <row r="96" ht="30" customHeight="1">
      <c r="A96" s="10" t="inlineStr">
        <is>
          <t>📈 预期：预计在3个月内将事件SLA合规率提升至85%以上，并将变更引发事件率降低50%。</t>
        </is>
      </c>
    </row>
    <row r="97" ht="10" customHeight="1"/>
    <row r="98" ht="10" customHeight="1"/>
    <row r="99">
      <c r="A99" s="11" t="inlineStr">
        <is>
          <t>由客户跨流程总览报告生成 • 2026-02-04 13:18</t>
        </is>
      </c>
    </row>
  </sheetData>
  <mergeCells count="23">
    <mergeCell ref="A5:J5"/>
    <mergeCell ref="A4:J4"/>
    <mergeCell ref="A81:J81"/>
    <mergeCell ref="A96:J96"/>
    <mergeCell ref="A52:J52"/>
    <mergeCell ref="A13:J13"/>
    <mergeCell ref="A93:J93"/>
    <mergeCell ref="A92:J92"/>
    <mergeCell ref="A83:J83"/>
    <mergeCell ref="A24:J24"/>
    <mergeCell ref="A82:J82"/>
    <mergeCell ref="A1:J1"/>
    <mergeCell ref="A94:J94"/>
    <mergeCell ref="A88:J88"/>
    <mergeCell ref="A87:J87"/>
    <mergeCell ref="A25:J25"/>
    <mergeCell ref="A90:J90"/>
    <mergeCell ref="A99:J99"/>
    <mergeCell ref="A80:J80"/>
    <mergeCell ref="A84:J84"/>
    <mergeCell ref="A89:J89"/>
    <mergeCell ref="A2:J2"/>
    <mergeCell ref="A86:J86"/>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2026-02-04T05:18:41Z</dcterms:created>
  <dcterms:modified xmlns:dcterms="http://purl.org/dc/terms/" xmlns:xsi="http://www.w3.org/2001/XMLSchema-instance" xsi:type="dcterms:W3CDTF">2026-02-04T05:18:43Z</dcterms:modified>
</cp:coreProperties>
</file>